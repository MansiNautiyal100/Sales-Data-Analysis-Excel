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https://d.docs.live.net/2ed53ca9e89dffe3/Documents/"/>
    </mc:Choice>
  </mc:AlternateContent>
  <xr:revisionPtr revIDLastSave="0" documentId="8_{606AE11A-717F-4626-A5CA-F7E56CA3AC88}" xr6:coauthVersionLast="47" xr6:coauthVersionMax="47" xr10:uidLastSave="{00000000-0000-0000-0000-000000000000}"/>
  <bookViews>
    <workbookView xWindow="-108" yWindow="-108" windowWidth="23256" windowHeight="12456" activeTab="4" xr2:uid="{00000000-000D-0000-FFFF-FFFF00000000}"/>
  </bookViews>
  <sheets>
    <sheet name="Raw Superstore sales data" sheetId="1" r:id="rId1"/>
    <sheet name="sales by region" sheetId="2" r:id="rId2"/>
    <sheet name="sales by category" sheetId="3" r:id="rId3"/>
    <sheet name="monthly sales trend" sheetId="6" r:id="rId4"/>
    <sheet name="Dashboards" sheetId="5" r:id="rId5"/>
  </sheets>
  <definedNames>
    <definedName name="_xlnm._FilterDatabase" localSheetId="0" hidden="1">'Raw Superstore sales data'!$A$1:$G$201</definedName>
    <definedName name="Slicer_Category">#N/A</definedName>
    <definedName name="Slicer_Region">#N/A</definedName>
  </definedNames>
  <calcPr calcId="124519"/>
  <pivotCaches>
    <pivotCache cacheId="8"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<sst xmlns="http://schemas.openxmlformats.org/spreadsheetml/2006/main" count="830" uniqueCount="33">
  <si>
    <t>Order Date</t>
  </si>
  <si>
    <t>Region</t>
  </si>
  <si>
    <t>Category</t>
  </si>
  <si>
    <t>Sub-Category</t>
  </si>
  <si>
    <t>Sales</t>
  </si>
  <si>
    <t>Profit</t>
  </si>
  <si>
    <t>Customer Name</t>
  </si>
  <si>
    <t>West</t>
  </si>
  <si>
    <t>Central</t>
  </si>
  <si>
    <t>East</t>
  </si>
  <si>
    <t>South</t>
  </si>
  <si>
    <t>Office Supplies</t>
  </si>
  <si>
    <t>Technology</t>
  </si>
  <si>
    <t>Furniture</t>
  </si>
  <si>
    <t>Phones</t>
  </si>
  <si>
    <t>Tables</t>
  </si>
  <si>
    <t>Binders</t>
  </si>
  <si>
    <t>Accessories</t>
  </si>
  <si>
    <t>Chairs</t>
  </si>
  <si>
    <t>Customer D</t>
  </si>
  <si>
    <t>Customer C</t>
  </si>
  <si>
    <t>Customer B</t>
  </si>
  <si>
    <t>Customer A</t>
  </si>
  <si>
    <t>Row Labels</t>
  </si>
  <si>
    <t>Grand Total</t>
  </si>
  <si>
    <t>Sum of Sales</t>
  </si>
  <si>
    <t>Jan</t>
  </si>
  <si>
    <t>Feb</t>
  </si>
  <si>
    <t>Mar</t>
  </si>
  <si>
    <t>Apr</t>
  </si>
  <si>
    <t>May</t>
  </si>
  <si>
    <t>Jun</t>
  </si>
  <si>
    <t>Jul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</si>
</sst>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6" formatCode="[$-14009]dd/mm/yyyy;@"/>
    <numFmt numFmtId="167" formatCode="0.00;[Red]0.0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166" fontId="1" fillId="0" borderId="1" xfId="0" applyNumberFormat="1" applyFont="1" applyBorder="1" applyAlignment="1">
      <alignment horizontal="center" vertical="top"/>
    </xf>
    <xf numFmtId="166" fontId="0" fillId="0" borderId="0" xfId="0" applyNumberFormat="1"/>
    <xf numFmtId="167" fontId="1" fillId="0" borderId="1" xfId="0" applyNumberFormat="1" applyFont="1" applyBorder="1" applyAlignment="1">
      <alignment horizontal="center" vertical="top"/>
    </xf>
    <xf numFmtId="167"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 Data Analyst Project.xlsx]sales by category!PivotTable2</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by category'!$B$3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'sales by category'!$A$4:$A$7</c:f>
              <c:strCache>
                <c:ptCount val="3"/>
                <c:pt idx="0">
                  <c:v>Furniture</c:v>
                </c:pt>
                <c:pt idx="1">
                  <c:v>Office Supplies</c:v>
                </c:pt>
                <c:pt idx="2">
                  <c:v>Technology</c:v>
                </c:pt>
              </c:strCache>
            </c:strRef>
          </c:cat>
          <c:val>
            <c:numRef>
              <c:f>'sales by category'!$B$4:$B$7</c:f>
              <c:numCache>
                <c:formatCode>0.00;[Red]0.00</c:formatCode>
                <c:ptCount val="3"/>
                <c:pt idx="0">
                  <c:v>42015.679999999993</c:v>
                </c:pt>
                <c:pt idx="1">
                  <c:v>34045.970000000008</c:v>
                </c:pt>
                <c:pt idx="2">
                  <c:v>30584.639999999996</c:v>
                </c:pt>
              </c:numCache>
            </c:numRef>
          </c:val>
          <c:smooth val="0"/>
          <c:extLst>
            <c:ext xmlns:c16="http://schemas.microsoft.com/office/drawing/2014/chart" uri="{C3380CC4-5D6E-409C-BE32-E72D297353CC}">
              <c16:uniqueId val="{00000000-6C36-42D9-BE83-BBA49C6766CC}"/>
            </c:ext>
          </c:extLst>
        </c:ser>
        <c:dLbls>
          <c:showLegendKey val="0"/>
          <c:showVal val="0"/>
          <c:showCatName val="0"/>
          <c:showSerName val="0"/>
          <c:showPercent val="0"/>
          <c:showBubbleSize val="0"/>
        </c:dLbls>
        <c:marker val="1"/>
        <c:smooth val="0"/>
        <c:axId val="187076079"/>
        <c:axId val="187073679"/>
      </c:lineChart>
      <c:catAx>
        <c:axId val="18707607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7073679"/>
        <c:crosses val="autoZero"/>
        <c:auto val="1"/>
        <c:lblAlgn val="ctr"/>
        <c:lblOffset val="100"/>
        <c:noMultiLvlLbl val="0"/>
      </c:catAx>
      <c:valAx>
        <c:axId val="187073679"/>
        <c:scaling>
          <c:orientation val="minMax"/>
        </c:scaling>
        <c:delete val="0"/>
        <c:axPos val="l"/>
        <c:majorGridlines>
          <c:spPr>
            <a:ln w="9525" cap="flat" cmpd="sng" algn="ctr">
              <a:solidFill>
                <a:schemeClr val="lt1">
                  <a:lumMod val="95000"/>
                  <a:alpha val="10000"/>
                </a:schemeClr>
              </a:solidFill>
              <a:round/>
            </a:ln>
            <a:effectLst/>
          </c:spPr>
        </c:majorGridlines>
        <c:numFmt formatCode="0.00;[Red]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7076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 Data Analyst Project.xlsx]sales by region!PivotTable1</c:name>
    <c:fmtId val="3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by region'!$B$3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'sales by region'!$A$4:$A$8</c:f>
              <c:strCache>
                <c:ptCount val="4"/>
                <c:pt idx="0">
                  <c:v>Central</c:v>
                </c:pt>
                <c:pt idx="1">
                  <c:v>East</c:v>
                </c:pt>
                <c:pt idx="2">
                  <c:v>South</c:v>
                </c:pt>
                <c:pt idx="3">
                  <c:v>West</c:v>
                </c:pt>
              </c:strCache>
            </c:strRef>
          </c:cat>
          <c:val>
            <c:numRef>
              <c:f>'sales by region'!$B$4:$B$8</c:f>
              <c:numCache>
                <c:formatCode>0.00;[Red]0.00</c:formatCode>
                <c:ptCount val="4"/>
                <c:pt idx="0">
                  <c:v>22640.350000000009</c:v>
                </c:pt>
                <c:pt idx="1">
                  <c:v>26797.489999999994</c:v>
                </c:pt>
                <c:pt idx="2">
                  <c:v>27089.129999999994</c:v>
                </c:pt>
                <c:pt idx="3">
                  <c:v>30119.32</c:v>
                </c:pt>
              </c:numCache>
            </c:numRef>
          </c:val>
          <c:smooth val="0"/>
          <c:extLst>
            <c:ext xmlns:c16="http://schemas.microsoft.com/office/drawing/2014/chart" uri="{C3380CC4-5D6E-409C-BE32-E72D297353CC}">
              <c16:uniqueId val="{00000000-B63F-47E7-9E2C-41CE222EE0BA}"/>
            </c:ext>
          </c:extLst>
        </c:ser>
        <c:dLbls>
          <c:showLegendKey val="0"/>
          <c:showVal val="0"/>
          <c:showCatName val="0"/>
          <c:showSerName val="0"/>
          <c:showPercent val="0"/>
          <c:showBubbleSize val="0"/>
        </c:dLbls>
        <c:marker val="1"/>
        <c:smooth val="0"/>
        <c:axId val="97064383"/>
        <c:axId val="97064863"/>
      </c:lineChart>
      <c:catAx>
        <c:axId val="9706438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7064863"/>
        <c:crosses val="autoZero"/>
        <c:auto val="1"/>
        <c:lblAlgn val="ctr"/>
        <c:lblOffset val="100"/>
        <c:noMultiLvlLbl val="0"/>
      </c:catAx>
      <c:valAx>
        <c:axId val="97064863"/>
        <c:scaling>
          <c:orientation val="minMax"/>
        </c:scaling>
        <c:delete val="0"/>
        <c:axPos val="l"/>
        <c:majorGridlines>
          <c:spPr>
            <a:ln w="9525" cap="flat" cmpd="sng" algn="ctr">
              <a:solidFill>
                <a:schemeClr val="lt1">
                  <a:lumMod val="95000"/>
                  <a:alpha val="10000"/>
                </a:schemeClr>
              </a:solidFill>
              <a:round/>
            </a:ln>
            <a:effectLst/>
          </c:spPr>
        </c:majorGridlines>
        <c:numFmt formatCode="0.00;[Red]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7064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 Data Analyst Project.xlsx]monthly sales trend!PivotTable4</c:name>
    <c:fmtId val="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trend'!$B$3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'monthly sales trend'!$A$4:$A$11</c:f>
              <c:strCache>
                <c:ptCount val="7"/>
                <c:pt idx="0">
                  <c:v>Jan</c:v>
                </c:pt>
                <c:pt idx="1">
                  <c:v>Feb</c:v>
                </c:pt>
                <c:pt idx="2">
                  <c:v>Mar</c:v>
                </c:pt>
                <c:pt idx="3">
                  <c:v>Apr</c:v>
                </c:pt>
                <c:pt idx="4">
                  <c:v>May</c:v>
                </c:pt>
                <c:pt idx="5">
                  <c:v>Jun</c:v>
                </c:pt>
                <c:pt idx="6">
                  <c:v>Jul</c:v>
                </c:pt>
              </c:strCache>
            </c:strRef>
          </c:cat>
          <c:val>
            <c:numRef>
              <c:f>'monthly sales trend'!$B$4:$B$11</c:f>
              <c:numCache>
                <c:formatCode>0.00;[Red]0.00</c:formatCode>
                <c:ptCount val="7"/>
                <c:pt idx="0">
                  <c:v>12705.390000000003</c:v>
                </c:pt>
                <c:pt idx="1">
                  <c:v>18159.48</c:v>
                </c:pt>
                <c:pt idx="2">
                  <c:v>17286.75</c:v>
                </c:pt>
                <c:pt idx="3">
                  <c:v>14545.050000000003</c:v>
                </c:pt>
                <c:pt idx="4">
                  <c:v>19195.29</c:v>
                </c:pt>
                <c:pt idx="5">
                  <c:v>11923.39</c:v>
                </c:pt>
                <c:pt idx="6">
                  <c:v>12830.94</c:v>
                </c:pt>
              </c:numCache>
            </c:numRef>
          </c:val>
          <c:smooth val="0"/>
          <c:extLst>
            <c:ext xmlns:c16="http://schemas.microsoft.com/office/drawing/2014/chart" uri="{C3380CC4-5D6E-409C-BE32-E72D297353CC}">
              <c16:uniqueId val="{00000000-043A-4522-8A74-4F43EDB9F365}"/>
            </c:ext>
          </c:extLst>
        </c:ser>
        <c:dLbls>
          <c:showLegendKey val="0"/>
          <c:showVal val="0"/>
          <c:showCatName val="0"/>
          <c:showSerName val="0"/>
          <c:showPercent val="0"/>
          <c:showBubbleSize val="0"/>
        </c:dLbls>
        <c:marker val="1"/>
        <c:smooth val="0"/>
        <c:axId val="274913743"/>
        <c:axId val="96376351"/>
      </c:lineChart>
      <c:catAx>
        <c:axId val="27491374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6376351"/>
        <c:crosses val="autoZero"/>
        <c:auto val="1"/>
        <c:lblAlgn val="ctr"/>
        <c:lblOffset val="100"/>
        <c:noMultiLvlLbl val="0"/>
      </c:catAx>
      <c:valAx>
        <c:axId val="96376351"/>
        <c:scaling>
          <c:orientation val="minMax"/>
        </c:scaling>
        <c:delete val="0"/>
        <c:axPos val="l"/>
        <c:majorGridlines>
          <c:spPr>
            <a:ln w="9525" cap="flat" cmpd="sng" algn="ctr">
              <a:solidFill>
                <a:schemeClr val="lt1">
                  <a:lumMod val="95000"/>
                  <a:alpha val="10000"/>
                </a:schemeClr>
              </a:solidFill>
              <a:round/>
            </a:ln>
            <a:effectLst/>
          </c:spPr>
        </c:majorGridlines>
        <c:numFmt formatCode="0.00;[Red]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74913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12</xdr:col>
      <xdr:colOff>17810</xdr:colOff>
      <xdr:row>20</xdr:row>
      <xdr:rowOff>44824</xdr:rowOff>
    </xdr:from>
    <xdr:to>
      <xdr:col>22</xdr:col>
      <xdr:colOff>67235</xdr:colOff>
      <xdr:row>41</xdr:row>
      <xdr:rowOff>134470</xdr:rowOff>
    </xdr:to>
    <xdr:graphicFrame macro="">
      <xdr:nvGraphicFramePr>
        <xdr:cNvPr id="3" name="Chart 2">
          <a:extLst>
            <a:ext uri="{FF2B5EF4-FFF2-40B4-BE49-F238E27FC236}">
              <a16:creationId xmlns:a16="http://schemas.microsoft.com/office/drawing/2014/main" id="{CDABD5AF-F418-48B5-8034-C7B42F6B24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593240</xdr:colOff>
      <xdr:row>20</xdr:row>
      <xdr:rowOff>56029</xdr:rowOff>
    </xdr:from>
    <xdr:to>
      <xdr:col>11</xdr:col>
      <xdr:colOff>11206</xdr:colOff>
      <xdr:row>41</xdr:row>
      <xdr:rowOff>179293</xdr:rowOff>
    </xdr:to>
    <xdr:graphicFrame macro="">
      <xdr:nvGraphicFramePr>
        <xdr:cNvPr id="4" name="Chart 3">
          <a:extLst>
            <a:ext uri="{FF2B5EF4-FFF2-40B4-BE49-F238E27FC236}">
              <a16:creationId xmlns:a16="http://schemas.microsoft.com/office/drawing/2014/main" id="{A39ACE8A-CADF-43F1-BF1E-B8C7DB888A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392207</xdr:colOff>
      <xdr:row>8</xdr:row>
      <xdr:rowOff>33618</xdr:rowOff>
    </xdr:from>
    <xdr:to>
      <xdr:col>23</xdr:col>
      <xdr:colOff>134471</xdr:colOff>
      <xdr:row>12</xdr:row>
      <xdr:rowOff>156883</xdr:rowOff>
    </xdr:to>
    <xdr:sp macro="" textlink="">
      <xdr:nvSpPr>
        <xdr:cNvPr id="7" name="TextBox 6">
          <a:extLst>
            <a:ext uri="{FF2B5EF4-FFF2-40B4-BE49-F238E27FC236}">
              <a16:creationId xmlns:a16="http://schemas.microsoft.com/office/drawing/2014/main" id="{271D4B86-2267-A2F0-A7D2-D61A1002B4A0}"/>
            </a:ext>
          </a:extLst>
        </xdr:cNvPr>
        <xdr:cNvSpPr txBox="1"/>
      </xdr:nvSpPr>
      <xdr:spPr>
        <a:xfrm>
          <a:off x="6443383" y="1467971"/>
          <a:ext cx="7608794" cy="840441"/>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5400">
              <a:solidFill>
                <a:srgbClr val="FF0000"/>
              </a:solidFill>
            </a:rPr>
            <a:t>Sales Data Dashboard</a:t>
          </a:r>
        </a:p>
      </xdr:txBody>
    </xdr:sp>
    <xdr:clientData/>
  </xdr:twoCellAnchor>
  <xdr:twoCellAnchor editAs="oneCell">
    <xdr:from>
      <xdr:col>1</xdr:col>
      <xdr:colOff>369793</xdr:colOff>
      <xdr:row>43</xdr:row>
      <xdr:rowOff>89648</xdr:rowOff>
    </xdr:from>
    <xdr:to>
      <xdr:col>9</xdr:col>
      <xdr:colOff>358587</xdr:colOff>
      <xdr:row>52</xdr:row>
      <xdr:rowOff>22412</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45B6915C-DC3A-4FFE-A396-960D21BE457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81539" y="7935028"/>
              <a:ext cx="4882766" cy="15748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593912</xdr:colOff>
      <xdr:row>43</xdr:row>
      <xdr:rowOff>89647</xdr:rowOff>
    </xdr:from>
    <xdr:to>
      <xdr:col>21</xdr:col>
      <xdr:colOff>123264</xdr:colOff>
      <xdr:row>51</xdr:row>
      <xdr:rowOff>89647</xdr:rowOff>
    </xdr:to>
    <mc:AlternateContent xmlns:mc="http://schemas.openxmlformats.org/markup-compatibility/2006">
      <mc:Choice xmlns:a14="http://schemas.microsoft.com/office/drawing/2010/main" Requires="a14">
        <xdr:graphicFrame macro="">
          <xdr:nvGraphicFramePr>
            <xdr:cNvPr id="9" name="Category">
              <a:extLst>
                <a:ext uri="{FF2B5EF4-FFF2-40B4-BE49-F238E27FC236}">
                  <a16:creationId xmlns:a16="http://schemas.microsoft.com/office/drawing/2014/main" id="{B61CBA6C-D5D6-4D61-9DED-7F68B8F6A13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7934870" y="7935027"/>
              <a:ext cx="5035070" cy="14596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10731</xdr:colOff>
      <xdr:row>20</xdr:row>
      <xdr:rowOff>64394</xdr:rowOff>
    </xdr:from>
    <xdr:to>
      <xdr:col>33</xdr:col>
      <xdr:colOff>160985</xdr:colOff>
      <xdr:row>41</xdr:row>
      <xdr:rowOff>139521</xdr:rowOff>
    </xdr:to>
    <xdr:graphicFrame macro="">
      <xdr:nvGraphicFramePr>
        <xdr:cNvPr id="13" name="Chart 12">
          <a:extLst>
            <a:ext uri="{FF2B5EF4-FFF2-40B4-BE49-F238E27FC236}">
              <a16:creationId xmlns:a16="http://schemas.microsoft.com/office/drawing/2014/main" id="{2B3B7F63-0E0B-481B-90ED-B897479798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21.646765972226" createdVersion="8" refreshedVersion="8" minRefreshableVersion="3" recordCount="200" xr:uid="{29BE4B56-3F7D-45B9-B70A-E948E987B7A7}">
  <cacheSource type="worksheet">
    <worksheetSource ref="A1:G201" sheet="Raw Superstore sales data"/>
  </cacheSource>
  <cacheFields count="9">
    <cacheField name="Order Date" numFmtId="166">
      <sharedItems containsSemiMixedTypes="0" containsNonDate="0" containsDate="1" containsString="0" minDate="2022-01-01T00:00:00" maxDate="2022-07-18T00:00:00" count="130">
        <d v="2022-01-01T00:00:00"/>
        <d v="2022-01-02T00:00:00"/>
        <d v="2022-01-03T00:00:00"/>
        <d v="2022-01-04T00:00:00"/>
        <d v="2022-01-05T00:00:00"/>
        <d v="2022-01-07T00:00:00"/>
        <d v="2022-01-10T00:00:00"/>
        <d v="2022-01-11T00:00:00"/>
        <d v="2022-01-12T00:00:00"/>
        <d v="2022-01-14T00:00:00"/>
        <d v="2022-01-15T00:00:00"/>
        <d v="2022-01-17T00:00:00"/>
        <d v="2022-01-18T00:00:00"/>
        <d v="2022-01-20T00:00:00"/>
        <d v="2022-01-22T00:00:00"/>
        <d v="2022-01-24T00:00:00"/>
        <d v="2022-01-25T00:00:00"/>
        <d v="2022-01-26T00:00:00"/>
        <d v="2022-01-29T00:00:00"/>
        <d v="2022-01-30T00:00:00"/>
        <d v="2022-01-31T00:00:00"/>
        <d v="2022-02-01T00:00:00"/>
        <d v="2022-02-02T00:00:00"/>
        <d v="2022-02-04T00:00:00"/>
        <d v="2022-02-05T00:00:00"/>
        <d v="2022-02-06T00:00:00"/>
        <d v="2022-02-08T00:00:00"/>
        <d v="2022-02-09T00:00:00"/>
        <d v="2022-02-10T00:00:00"/>
        <d v="2022-02-11T00:00:00"/>
        <d v="2022-02-12T00:00:00"/>
        <d v="2022-02-13T00:00:00"/>
        <d v="2022-02-17T00:00:00"/>
        <d v="2022-02-18T00:00:00"/>
        <d v="2022-02-19T00:00:00"/>
        <d v="2022-02-20T00:00:00"/>
        <d v="2022-02-21T00:00:00"/>
        <d v="2022-02-23T00:00:00"/>
        <d v="2022-02-27T00:00:00"/>
        <d v="2022-02-28T00:00:00"/>
        <d v="2022-03-03T00:00:00"/>
        <d v="2022-03-04T00:00:00"/>
        <d v="2022-03-07T00:00:00"/>
        <d v="2022-03-09T00:00:00"/>
        <d v="2022-03-10T00:00:00"/>
        <d v="2022-03-11T00:00:00"/>
        <d v="2022-03-12T00:00:00"/>
        <d v="2022-03-14T00:00:00"/>
        <d v="2022-03-17T00:00:00"/>
        <d v="2022-03-19T00:00:00"/>
        <d v="2022-03-20T00:00:00"/>
        <d v="2022-03-21T00:00:00"/>
        <d v="2022-03-22T00:00:00"/>
        <d v="2022-03-23T00:00:00"/>
        <d v="2022-03-24T00:00:00"/>
        <d v="2022-03-26T00:00:00"/>
        <d v="2022-03-27T00:00:00"/>
        <d v="2022-03-28T00:00:00"/>
        <d v="2022-03-29T00:00:00"/>
        <d v="2022-03-30T00:00:00"/>
        <d v="2022-04-02T00:00:00"/>
        <d v="2022-04-04T00:00:00"/>
        <d v="2022-04-05T00:00:00"/>
        <d v="2022-04-06T00:00:00"/>
        <d v="2022-04-07T00:00:00"/>
        <d v="2022-04-09T00:00:00"/>
        <d v="2022-04-10T00:00:00"/>
        <d v="2022-04-11T00:00:00"/>
        <d v="2022-04-13T00:00:00"/>
        <d v="2022-04-14T00:00:00"/>
        <d v="2022-04-15T00:00:00"/>
        <d v="2022-04-16T00:00:00"/>
        <d v="2022-04-18T00:00:00"/>
        <d v="2022-04-20T00:00:00"/>
        <d v="2022-04-23T00:00:00"/>
        <d v="2022-04-24T00:00:00"/>
        <d v="2022-04-25T00:00:00"/>
        <d v="2022-04-26T00:00:00"/>
        <d v="2022-04-28T00:00:00"/>
        <d v="2022-04-30T00:00:00"/>
        <d v="2022-05-01T00:00:00"/>
        <d v="2022-05-02T00:00:00"/>
        <d v="2022-05-04T00:00:00"/>
        <d v="2022-05-06T00:00:00"/>
        <d v="2022-05-08T00:00:00"/>
        <d v="2022-05-09T00:00:00"/>
        <d v="2022-05-11T00:00:00"/>
        <d v="2022-05-12T00:00:00"/>
        <d v="2022-05-13T00:00:00"/>
        <d v="2022-05-14T00:00:00"/>
        <d v="2022-05-19T00:00:00"/>
        <d v="2022-05-20T00:00:00"/>
        <d v="2022-05-21T00:00:00"/>
        <d v="2022-05-22T00:00:00"/>
        <d v="2022-05-23T00:00:00"/>
        <d v="2022-05-24T00:00:00"/>
        <d v="2022-05-28T00:00:00"/>
        <d v="2022-05-29T00:00:00"/>
        <d v="2022-05-30T00:00:00"/>
        <d v="2022-06-01T00:00:00"/>
        <d v="2022-06-02T00:00:00"/>
        <d v="2022-06-04T00:00:00"/>
        <d v="2022-06-05T00:00:00"/>
        <d v="2022-06-07T00:00:00"/>
        <d v="2022-06-12T00:00:00"/>
        <d v="2022-06-13T00:00:00"/>
        <d v="2022-06-14T00:00:00"/>
        <d v="2022-06-15T00:00:00"/>
        <d v="2022-06-17T00:00:00"/>
        <d v="2022-06-19T00:00:00"/>
        <d v="2022-06-20T00:00:00"/>
        <d v="2022-06-22T00:00:00"/>
        <d v="2022-06-24T00:00:00"/>
        <d v="2022-06-25T00:00:00"/>
        <d v="2022-06-27T00:00:00"/>
        <d v="2022-06-28T00:00:00"/>
        <d v="2022-06-30T00:00:00"/>
        <d v="2022-07-02T00:00:00"/>
        <d v="2022-07-03T00:00:00"/>
        <d v="2022-07-04T00:00:00"/>
        <d v="2022-07-05T00:00:00"/>
        <d v="2022-07-06T00:00:00"/>
        <d v="2022-07-07T00:00:00"/>
        <d v="2022-07-08T00:00:00"/>
        <d v="2022-07-12T00:00:00"/>
        <d v="2022-07-13T00:00:00"/>
        <d v="2022-07-14T00:00:00"/>
        <d v="2022-07-15T00:00:00"/>
        <d v="2022-07-16T00:00:00"/>
        <d v="2022-07-17T00:00:00"/>
      </sharedItems>
      <fieldGroup par="8"/>
    </cacheField>
    <cacheField name="Region" numFmtId="0">
      <sharedItems count="4">
        <s v="East"/>
        <s v="Central"/>
        <s v="West"/>
        <s v="South"/>
      </sharedItems>
    </cacheField>
    <cacheField name="Category" numFmtId="0">
      <sharedItems count="3">
        <s v="Furniture"/>
        <s v="Technology"/>
        <s v="Office Supplies"/>
      </sharedItems>
    </cacheField>
    <cacheField name="Sub-Category" numFmtId="0">
      <sharedItems/>
    </cacheField>
    <cacheField name="Sales" numFmtId="167">
      <sharedItems containsSemiMixedTypes="0" containsString="0" containsNumber="1" minValue="102.43" maxValue="999.35"/>
    </cacheField>
    <cacheField name="Profit" numFmtId="167">
      <sharedItems containsSemiMixedTypes="0" containsString="0" containsNumber="1" minValue="-99.78" maxValue="296.76"/>
    </cacheField>
    <cacheField name="Customer Name" numFmtId="0">
      <sharedItems/>
    </cacheField>
    <cacheField name="Days (Order Date)" numFmtId="0" databaseField="0">
      <fieldGroup base="0">
        <rangePr groupBy="days" startDate="2022-01-01T00:00:00" endDate="2022-07-18T00:00:00"/>
        <groupItems count="368">
          <s v="&lt;01-01-2022"/>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8-07-2022"/>
        </groupItems>
      </fieldGroup>
    </cacheField>
    <cacheField name="Months (Order Date)" numFmtId="0" databaseField="0">
      <fieldGroup base="0">
        <rangePr groupBy="months" startDate="2022-01-01T00:00:00" endDate="2022-07-18T00:00:00"/>
        <groupItems count="14">
          <s v="&lt;01-01-2022"/>
          <s v="Jan"/>
          <s v="Feb"/>
          <s v="Mar"/>
          <s v="Apr"/>
          <s v="May"/>
          <s v="Jun"/>
          <s v="Jul"/>
          <s v="Aug"/>
          <s v="Sep"/>
          <s v="Oct"/>
          <s v="Nov"/>
          <s v="Dec"/>
          <s v="&gt;18-07-2022"/>
        </groupItems>
      </fieldGroup>
    </cacheField>
  </cacheFields>
  <extLst>
    <ext xmlns:x14="http://schemas.microsoft.com/office/spreadsheetml/2009/9/main" uri="{725AE2AE-9491-48be-B2B4-4EB974FC3084}">
      <x14:pivotCacheDefinition pivotCacheId="8390974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x v="0"/>
    <x v="0"/>
    <s v="Tables"/>
    <n v="416.7"/>
    <n v="95.07"/>
    <s v="Customer B"/>
  </r>
  <r>
    <x v="0"/>
    <x v="0"/>
    <x v="0"/>
    <s v="Phones"/>
    <n v="569.79999999999995"/>
    <n v="154.97999999999999"/>
    <s v="Customer B"/>
  </r>
  <r>
    <x v="1"/>
    <x v="0"/>
    <x v="0"/>
    <s v="Binders"/>
    <n v="244.42"/>
    <n v="81.239999999999995"/>
    <s v="Customer B"/>
  </r>
  <r>
    <x v="2"/>
    <x v="1"/>
    <x v="1"/>
    <s v="Chairs"/>
    <n v="344.13"/>
    <n v="35.85"/>
    <s v="Customer D"/>
  </r>
  <r>
    <x v="2"/>
    <x v="2"/>
    <x v="0"/>
    <s v="Chairs"/>
    <n v="464.84"/>
    <n v="191.02"/>
    <s v="Customer D"/>
  </r>
  <r>
    <x v="3"/>
    <x v="2"/>
    <x v="2"/>
    <s v="Binders"/>
    <n v="388.94"/>
    <n v="15.97"/>
    <s v="Customer A"/>
  </r>
  <r>
    <x v="4"/>
    <x v="0"/>
    <x v="0"/>
    <s v="Chairs"/>
    <n v="566.33000000000004"/>
    <n v="60.57"/>
    <s v="Customer A"/>
  </r>
  <r>
    <x v="5"/>
    <x v="1"/>
    <x v="0"/>
    <s v="Chairs"/>
    <n v="425.97"/>
    <n v="56.72"/>
    <s v="Customer A"/>
  </r>
  <r>
    <x v="6"/>
    <x v="2"/>
    <x v="0"/>
    <s v="Tables"/>
    <n v="284.43"/>
    <n v="73.19"/>
    <s v="Customer A"/>
  </r>
  <r>
    <x v="6"/>
    <x v="2"/>
    <x v="2"/>
    <s v="Binders"/>
    <n v="288.77"/>
    <n v="98.39"/>
    <s v="Customer A"/>
  </r>
  <r>
    <x v="6"/>
    <x v="3"/>
    <x v="1"/>
    <s v="Accessories"/>
    <n v="187.52"/>
    <n v="119.8"/>
    <s v="Customer A"/>
  </r>
  <r>
    <x v="7"/>
    <x v="2"/>
    <x v="0"/>
    <s v="Binders"/>
    <n v="511.35"/>
    <n v="-43.87"/>
    <s v="Customer A"/>
  </r>
  <r>
    <x v="8"/>
    <x v="3"/>
    <x v="2"/>
    <s v="Tables"/>
    <n v="168.84"/>
    <n v="227.21"/>
    <s v="Customer A"/>
  </r>
  <r>
    <x v="8"/>
    <x v="2"/>
    <x v="0"/>
    <s v="Accessories"/>
    <n v="205.58"/>
    <n v="13.13"/>
    <s v="Customer B"/>
  </r>
  <r>
    <x v="9"/>
    <x v="2"/>
    <x v="2"/>
    <s v="Phones"/>
    <n v="198.81"/>
    <n v="218.24"/>
    <s v="Customer A"/>
  </r>
  <r>
    <x v="10"/>
    <x v="2"/>
    <x v="0"/>
    <s v="Accessories"/>
    <n v="252.12"/>
    <n v="177.66"/>
    <s v="Customer D"/>
  </r>
  <r>
    <x v="10"/>
    <x v="1"/>
    <x v="1"/>
    <s v="Phones"/>
    <n v="271.51"/>
    <n v="246.72"/>
    <s v="Customer B"/>
  </r>
  <r>
    <x v="11"/>
    <x v="3"/>
    <x v="0"/>
    <s v="Phones"/>
    <n v="338.54"/>
    <n v="-51.95"/>
    <s v="Customer D"/>
  </r>
  <r>
    <x v="12"/>
    <x v="0"/>
    <x v="2"/>
    <s v="Phones"/>
    <n v="846.91"/>
    <n v="286.45999999999998"/>
    <s v="Customer D"/>
  </r>
  <r>
    <x v="13"/>
    <x v="1"/>
    <x v="2"/>
    <s v="Tables"/>
    <n v="459.25"/>
    <n v="259.58"/>
    <s v="Customer A"/>
  </r>
  <r>
    <x v="13"/>
    <x v="3"/>
    <x v="1"/>
    <s v="Binders"/>
    <n v="963.23"/>
    <n v="-43.4"/>
    <s v="Customer B"/>
  </r>
  <r>
    <x v="14"/>
    <x v="2"/>
    <x v="0"/>
    <s v="Accessories"/>
    <n v="407.53"/>
    <n v="111.29"/>
    <s v="Customer D"/>
  </r>
  <r>
    <x v="15"/>
    <x v="3"/>
    <x v="2"/>
    <s v="Binders"/>
    <n v="314.57"/>
    <n v="40.770000000000003"/>
    <s v="Customer C"/>
  </r>
  <r>
    <x v="15"/>
    <x v="0"/>
    <x v="0"/>
    <s v="Binders"/>
    <n v="770.86"/>
    <n v="186.02"/>
    <s v="Customer D"/>
  </r>
  <r>
    <x v="16"/>
    <x v="3"/>
    <x v="1"/>
    <s v="Chairs"/>
    <n v="199.43"/>
    <n v="265.99"/>
    <s v="Customer B"/>
  </r>
  <r>
    <x v="17"/>
    <x v="0"/>
    <x v="1"/>
    <s v="Binders"/>
    <n v="408.35"/>
    <n v="50.56"/>
    <s v="Customer A"/>
  </r>
  <r>
    <x v="18"/>
    <x v="1"/>
    <x v="1"/>
    <s v="Binders"/>
    <n v="656.94"/>
    <n v="243.51"/>
    <s v="Customer D"/>
  </r>
  <r>
    <x v="19"/>
    <x v="2"/>
    <x v="0"/>
    <s v="Accessories"/>
    <n v="966.49"/>
    <n v="145.15"/>
    <s v="Customer A"/>
  </r>
  <r>
    <x v="20"/>
    <x v="3"/>
    <x v="0"/>
    <s v="Accessories"/>
    <n v="583.23"/>
    <n v="42.94"/>
    <s v="Customer A"/>
  </r>
  <r>
    <x v="21"/>
    <x v="1"/>
    <x v="0"/>
    <s v="Binders"/>
    <n v="181.8"/>
    <n v="250.96"/>
    <s v="Customer C"/>
  </r>
  <r>
    <x v="21"/>
    <x v="0"/>
    <x v="1"/>
    <s v="Accessories"/>
    <n v="956.93"/>
    <n v="269.10000000000002"/>
    <s v="Customer B"/>
  </r>
  <r>
    <x v="22"/>
    <x v="2"/>
    <x v="2"/>
    <s v="Binders"/>
    <n v="400.57"/>
    <n v="103.05"/>
    <s v="Customer D"/>
  </r>
  <r>
    <x v="22"/>
    <x v="3"/>
    <x v="0"/>
    <s v="Chairs"/>
    <n v="724.56"/>
    <n v="6.88"/>
    <s v="Customer D"/>
  </r>
  <r>
    <x v="22"/>
    <x v="2"/>
    <x v="2"/>
    <s v="Binders"/>
    <n v="704.25"/>
    <n v="-40.880000000000003"/>
    <s v="Customer C"/>
  </r>
  <r>
    <x v="23"/>
    <x v="2"/>
    <x v="2"/>
    <s v="Phones"/>
    <n v="220.12"/>
    <n v="83.4"/>
    <s v="Customer D"/>
  </r>
  <r>
    <x v="24"/>
    <x v="2"/>
    <x v="0"/>
    <s v="Tables"/>
    <n v="244.21"/>
    <n v="-44.37"/>
    <s v="Customer B"/>
  </r>
  <r>
    <x v="25"/>
    <x v="3"/>
    <x v="0"/>
    <s v="Tables"/>
    <n v="708.62"/>
    <n v="39.78"/>
    <s v="Customer D"/>
  </r>
  <r>
    <x v="25"/>
    <x v="2"/>
    <x v="1"/>
    <s v="Accessories"/>
    <n v="831.75"/>
    <n v="-74.58"/>
    <s v="Customer C"/>
  </r>
  <r>
    <x v="25"/>
    <x v="2"/>
    <x v="2"/>
    <s v="Chairs"/>
    <n v="204.25"/>
    <n v="93.41"/>
    <s v="Customer A"/>
  </r>
  <r>
    <x v="26"/>
    <x v="0"/>
    <x v="1"/>
    <s v="Binders"/>
    <n v="930.98"/>
    <n v="50.7"/>
    <s v="Customer B"/>
  </r>
  <r>
    <x v="26"/>
    <x v="3"/>
    <x v="2"/>
    <s v="Tables"/>
    <n v="675.27"/>
    <n v="96.76"/>
    <s v="Customer B"/>
  </r>
  <r>
    <x v="27"/>
    <x v="2"/>
    <x v="1"/>
    <s v="Accessories"/>
    <n v="435.41"/>
    <n v="251.35"/>
    <s v="Customer D"/>
  </r>
  <r>
    <x v="28"/>
    <x v="1"/>
    <x v="0"/>
    <s v="Binders"/>
    <n v="732.9"/>
    <n v="208.35"/>
    <s v="Customer B"/>
  </r>
  <r>
    <x v="29"/>
    <x v="0"/>
    <x v="2"/>
    <s v="Binders"/>
    <n v="873.62"/>
    <n v="267.8"/>
    <s v="Customer B"/>
  </r>
  <r>
    <x v="30"/>
    <x v="2"/>
    <x v="2"/>
    <s v="Chairs"/>
    <n v="257.29000000000002"/>
    <n v="-13.42"/>
    <s v="Customer A"/>
  </r>
  <r>
    <x v="30"/>
    <x v="0"/>
    <x v="0"/>
    <s v="Phones"/>
    <n v="232.92"/>
    <n v="-36.340000000000003"/>
    <s v="Customer D"/>
  </r>
  <r>
    <x v="30"/>
    <x v="2"/>
    <x v="1"/>
    <s v="Accessories"/>
    <n v="653.07000000000005"/>
    <n v="113.07"/>
    <s v="Customer C"/>
  </r>
  <r>
    <x v="31"/>
    <x v="3"/>
    <x v="1"/>
    <s v="Chairs"/>
    <n v="205.59"/>
    <n v="265.95"/>
    <s v="Customer C"/>
  </r>
  <r>
    <x v="31"/>
    <x v="0"/>
    <x v="2"/>
    <s v="Accessories"/>
    <n v="481.34"/>
    <n v="274.85000000000002"/>
    <s v="Customer A"/>
  </r>
  <r>
    <x v="32"/>
    <x v="1"/>
    <x v="1"/>
    <s v="Tables"/>
    <n v="194.17"/>
    <n v="-35.15"/>
    <s v="Customer C"/>
  </r>
  <r>
    <x v="32"/>
    <x v="1"/>
    <x v="0"/>
    <s v="Binders"/>
    <n v="440.42"/>
    <n v="0.16"/>
    <s v="Customer D"/>
  </r>
  <r>
    <x v="33"/>
    <x v="0"/>
    <x v="1"/>
    <s v="Phones"/>
    <n v="403.73"/>
    <n v="148.66999999999999"/>
    <s v="Customer A"/>
  </r>
  <r>
    <x v="33"/>
    <x v="2"/>
    <x v="2"/>
    <s v="Tables"/>
    <n v="900.81"/>
    <n v="272.95999999999998"/>
    <s v="Customer B"/>
  </r>
  <r>
    <x v="34"/>
    <x v="1"/>
    <x v="2"/>
    <s v="Chairs"/>
    <n v="973.44"/>
    <n v="15.43"/>
    <s v="Customer D"/>
  </r>
  <r>
    <x v="35"/>
    <x v="1"/>
    <x v="0"/>
    <s v="Phones"/>
    <n v="622.97"/>
    <n v="194.91"/>
    <s v="Customer A"/>
  </r>
  <r>
    <x v="36"/>
    <x v="3"/>
    <x v="0"/>
    <s v="Binders"/>
    <n v="463.41"/>
    <n v="140.09"/>
    <s v="Customer C"/>
  </r>
  <r>
    <x v="37"/>
    <x v="0"/>
    <x v="1"/>
    <s v="Chairs"/>
    <n v="930.11"/>
    <n v="278.01"/>
    <s v="Customer C"/>
  </r>
  <r>
    <x v="37"/>
    <x v="3"/>
    <x v="0"/>
    <s v="Tables"/>
    <n v="765.9"/>
    <n v="127.29"/>
    <s v="Customer B"/>
  </r>
  <r>
    <x v="38"/>
    <x v="3"/>
    <x v="0"/>
    <s v="Phones"/>
    <n v="917.09"/>
    <n v="237.69"/>
    <s v="Customer C"/>
  </r>
  <r>
    <x v="39"/>
    <x v="3"/>
    <x v="1"/>
    <s v="Binders"/>
    <n v="739.3"/>
    <n v="258.27999999999997"/>
    <s v="Customer A"/>
  </r>
  <r>
    <x v="39"/>
    <x v="2"/>
    <x v="1"/>
    <s v="Tables"/>
    <n v="152.68"/>
    <n v="184.18"/>
    <s v="Customer A"/>
  </r>
  <r>
    <x v="40"/>
    <x v="0"/>
    <x v="0"/>
    <s v="Binders"/>
    <n v="428.59"/>
    <n v="99.27"/>
    <s v="Customer C"/>
  </r>
  <r>
    <x v="41"/>
    <x v="0"/>
    <x v="2"/>
    <s v="Accessories"/>
    <n v="442.3"/>
    <n v="89.26"/>
    <s v="Customer C"/>
  </r>
  <r>
    <x v="42"/>
    <x v="1"/>
    <x v="2"/>
    <s v="Accessories"/>
    <n v="897.67"/>
    <n v="97.58"/>
    <s v="Customer A"/>
  </r>
  <r>
    <x v="43"/>
    <x v="0"/>
    <x v="2"/>
    <s v="Accessories"/>
    <n v="712.46"/>
    <n v="82.56"/>
    <s v="Customer C"/>
  </r>
  <r>
    <x v="43"/>
    <x v="1"/>
    <x v="1"/>
    <s v="Chairs"/>
    <n v="571.77"/>
    <n v="148.47"/>
    <s v="Customer A"/>
  </r>
  <r>
    <x v="44"/>
    <x v="3"/>
    <x v="0"/>
    <s v="Phones"/>
    <n v="998.17"/>
    <n v="273.02"/>
    <s v="Customer B"/>
  </r>
  <r>
    <x v="45"/>
    <x v="1"/>
    <x v="2"/>
    <s v="Accessories"/>
    <n v="220.1"/>
    <n v="249.76"/>
    <s v="Customer C"/>
  </r>
  <r>
    <x v="46"/>
    <x v="0"/>
    <x v="0"/>
    <s v="Binders"/>
    <n v="589.30999999999995"/>
    <n v="200.41"/>
    <s v="Customer D"/>
  </r>
  <r>
    <x v="47"/>
    <x v="3"/>
    <x v="2"/>
    <s v="Chairs"/>
    <n v="351.16"/>
    <n v="4.3600000000000003"/>
    <s v="Customer A"/>
  </r>
  <r>
    <x v="47"/>
    <x v="0"/>
    <x v="0"/>
    <s v="Chairs"/>
    <n v="671.31"/>
    <n v="194.36"/>
    <s v="Customer C"/>
  </r>
  <r>
    <x v="47"/>
    <x v="0"/>
    <x v="0"/>
    <s v="Accessories"/>
    <n v="880.45"/>
    <n v="76.53"/>
    <s v="Customer B"/>
  </r>
  <r>
    <x v="48"/>
    <x v="3"/>
    <x v="2"/>
    <s v="Binders"/>
    <n v="299.26"/>
    <n v="250.41"/>
    <s v="Customer B"/>
  </r>
  <r>
    <x v="49"/>
    <x v="0"/>
    <x v="0"/>
    <s v="Chairs"/>
    <n v="660.01"/>
    <n v="45.96"/>
    <s v="Customer D"/>
  </r>
  <r>
    <x v="49"/>
    <x v="0"/>
    <x v="2"/>
    <s v="Binders"/>
    <n v="753.71"/>
    <n v="73.23"/>
    <s v="Customer B"/>
  </r>
  <r>
    <x v="50"/>
    <x v="1"/>
    <x v="0"/>
    <s v="Phones"/>
    <n v="156.88999999999999"/>
    <n v="50.96"/>
    <s v="Customer B"/>
  </r>
  <r>
    <x v="51"/>
    <x v="3"/>
    <x v="2"/>
    <s v="Binders"/>
    <n v="704.76"/>
    <n v="-53.05"/>
    <s v="Customer A"/>
  </r>
  <r>
    <x v="51"/>
    <x v="1"/>
    <x v="1"/>
    <s v="Accessories"/>
    <n v="971.46"/>
    <n v="216.75"/>
    <s v="Customer B"/>
  </r>
  <r>
    <x v="52"/>
    <x v="3"/>
    <x v="0"/>
    <s v="Tables"/>
    <n v="459.83"/>
    <n v="285.27999999999997"/>
    <s v="Customer B"/>
  </r>
  <r>
    <x v="53"/>
    <x v="2"/>
    <x v="0"/>
    <s v="Chairs"/>
    <n v="465.35"/>
    <n v="45.82"/>
    <s v="Customer A"/>
  </r>
  <r>
    <x v="54"/>
    <x v="3"/>
    <x v="2"/>
    <s v="Tables"/>
    <n v="682.48"/>
    <n v="288.29000000000002"/>
    <s v="Customer A"/>
  </r>
  <r>
    <x v="54"/>
    <x v="0"/>
    <x v="1"/>
    <s v="Phones"/>
    <n v="322.66000000000003"/>
    <n v="-37.450000000000003"/>
    <s v="Customer B"/>
  </r>
  <r>
    <x v="54"/>
    <x v="2"/>
    <x v="2"/>
    <s v="Tables"/>
    <n v="875.86"/>
    <n v="49.4"/>
    <s v="Customer D"/>
  </r>
  <r>
    <x v="55"/>
    <x v="3"/>
    <x v="2"/>
    <s v="Binders"/>
    <n v="374"/>
    <n v="290.35000000000002"/>
    <s v="Customer A"/>
  </r>
  <r>
    <x v="56"/>
    <x v="2"/>
    <x v="1"/>
    <s v="Chairs"/>
    <n v="510.87"/>
    <n v="42.97"/>
    <s v="Customer D"/>
  </r>
  <r>
    <x v="57"/>
    <x v="0"/>
    <x v="0"/>
    <s v="Binders"/>
    <n v="981.97"/>
    <n v="43.6"/>
    <s v="Customer D"/>
  </r>
  <r>
    <x v="57"/>
    <x v="1"/>
    <x v="0"/>
    <s v="Accessories"/>
    <n v="300.58"/>
    <n v="39.28"/>
    <s v="Customer C"/>
  </r>
  <r>
    <x v="58"/>
    <x v="2"/>
    <x v="0"/>
    <s v="Binders"/>
    <n v="891.31"/>
    <n v="212.59"/>
    <s v="Customer C"/>
  </r>
  <r>
    <x v="58"/>
    <x v="1"/>
    <x v="0"/>
    <s v="Binders"/>
    <n v="577.48"/>
    <n v="176.31"/>
    <s v="Customer C"/>
  </r>
  <r>
    <x v="59"/>
    <x v="0"/>
    <x v="2"/>
    <s v="Phones"/>
    <n v="354.43"/>
    <n v="270.88"/>
    <s v="Customer B"/>
  </r>
  <r>
    <x v="59"/>
    <x v="3"/>
    <x v="1"/>
    <s v="Phones"/>
    <n v="180.55"/>
    <n v="203.71"/>
    <s v="Customer A"/>
  </r>
  <r>
    <x v="60"/>
    <x v="2"/>
    <x v="2"/>
    <s v="Binders"/>
    <n v="135.65"/>
    <n v="21.68"/>
    <s v="Customer B"/>
  </r>
  <r>
    <x v="61"/>
    <x v="1"/>
    <x v="0"/>
    <s v="Accessories"/>
    <n v="788.11"/>
    <n v="-13.84"/>
    <s v="Customer D"/>
  </r>
  <r>
    <x v="62"/>
    <x v="0"/>
    <x v="2"/>
    <s v="Tables"/>
    <n v="999.35"/>
    <n v="110.76"/>
    <s v="Customer D"/>
  </r>
  <r>
    <x v="62"/>
    <x v="1"/>
    <x v="1"/>
    <s v="Tables"/>
    <n v="126.96"/>
    <n v="131.08000000000001"/>
    <s v="Customer D"/>
  </r>
  <r>
    <x v="63"/>
    <x v="0"/>
    <x v="0"/>
    <s v="Tables"/>
    <n v="693.26"/>
    <n v="61.21"/>
    <s v="Customer A"/>
  </r>
  <r>
    <x v="63"/>
    <x v="2"/>
    <x v="0"/>
    <s v="Accessories"/>
    <n v="192.97"/>
    <n v="246.38"/>
    <s v="Customer B"/>
  </r>
  <r>
    <x v="64"/>
    <x v="3"/>
    <x v="1"/>
    <s v="Accessories"/>
    <n v="117.21"/>
    <n v="151.09"/>
    <s v="Customer A"/>
  </r>
  <r>
    <x v="65"/>
    <x v="1"/>
    <x v="0"/>
    <s v="Binders"/>
    <n v="401.95"/>
    <n v="221.16"/>
    <s v="Customer D"/>
  </r>
  <r>
    <x v="65"/>
    <x v="3"/>
    <x v="1"/>
    <s v="Accessories"/>
    <n v="459.82"/>
    <n v="226.94"/>
    <s v="Customer C"/>
  </r>
  <r>
    <x v="66"/>
    <x v="2"/>
    <x v="1"/>
    <s v="Binders"/>
    <n v="640.35"/>
    <n v="-98.46"/>
    <s v="Customer C"/>
  </r>
  <r>
    <x v="66"/>
    <x v="3"/>
    <x v="1"/>
    <s v="Chairs"/>
    <n v="916.96"/>
    <n v="-56.95"/>
    <s v="Customer D"/>
  </r>
  <r>
    <x v="67"/>
    <x v="3"/>
    <x v="1"/>
    <s v="Binders"/>
    <n v="395.19"/>
    <n v="155.88"/>
    <s v="Customer D"/>
  </r>
  <r>
    <x v="68"/>
    <x v="3"/>
    <x v="1"/>
    <s v="Accessories"/>
    <n v="695.01"/>
    <n v="70.760000000000005"/>
    <s v="Customer C"/>
  </r>
  <r>
    <x v="69"/>
    <x v="1"/>
    <x v="2"/>
    <s v="Accessories"/>
    <n v="739.48"/>
    <n v="-20.16"/>
    <s v="Customer A"/>
  </r>
  <r>
    <x v="70"/>
    <x v="2"/>
    <x v="0"/>
    <s v="Binders"/>
    <n v="871.41"/>
    <n v="269.32"/>
    <s v="Customer C"/>
  </r>
  <r>
    <x v="71"/>
    <x v="3"/>
    <x v="0"/>
    <s v="Phones"/>
    <n v="132.43"/>
    <n v="-2.04"/>
    <s v="Customer C"/>
  </r>
  <r>
    <x v="72"/>
    <x v="2"/>
    <x v="2"/>
    <s v="Binders"/>
    <n v="763.53"/>
    <n v="211.67"/>
    <s v="Customer B"/>
  </r>
  <r>
    <x v="73"/>
    <x v="0"/>
    <x v="1"/>
    <s v="Chairs"/>
    <n v="176.78"/>
    <n v="-76.25"/>
    <s v="Customer C"/>
  </r>
  <r>
    <x v="74"/>
    <x v="2"/>
    <x v="0"/>
    <s v="Accessories"/>
    <n v="156.37"/>
    <n v="142.28"/>
    <s v="Customer A"/>
  </r>
  <r>
    <x v="74"/>
    <x v="2"/>
    <x v="2"/>
    <s v="Tables"/>
    <n v="645.67999999999995"/>
    <n v="37.81"/>
    <s v="Customer A"/>
  </r>
  <r>
    <x v="75"/>
    <x v="3"/>
    <x v="2"/>
    <s v="Phones"/>
    <n v="749.27"/>
    <n v="-99.78"/>
    <s v="Customer B"/>
  </r>
  <r>
    <x v="76"/>
    <x v="3"/>
    <x v="2"/>
    <s v="Binders"/>
    <n v="660.97"/>
    <n v="-0.93"/>
    <s v="Customer C"/>
  </r>
  <r>
    <x v="76"/>
    <x v="0"/>
    <x v="0"/>
    <s v="Tables"/>
    <n v="962.87"/>
    <n v="91.75"/>
    <s v="Customer C"/>
  </r>
  <r>
    <x v="77"/>
    <x v="0"/>
    <x v="0"/>
    <s v="Tables"/>
    <n v="619.42999999999995"/>
    <n v="10.94"/>
    <s v="Customer D"/>
  </r>
  <r>
    <x v="77"/>
    <x v="1"/>
    <x v="0"/>
    <s v="Binders"/>
    <n v="163.04"/>
    <n v="30.51"/>
    <s v="Customer B"/>
  </r>
  <r>
    <x v="78"/>
    <x v="2"/>
    <x v="0"/>
    <s v="Phones"/>
    <n v="413.63"/>
    <n v="123.87"/>
    <s v="Customer B"/>
  </r>
  <r>
    <x v="78"/>
    <x v="2"/>
    <x v="2"/>
    <s v="Tables"/>
    <n v="431.13"/>
    <n v="207.99"/>
    <s v="Customer D"/>
  </r>
  <r>
    <x v="79"/>
    <x v="2"/>
    <x v="0"/>
    <s v="Phones"/>
    <n v="496.24"/>
    <n v="237.14"/>
    <s v="Customer D"/>
  </r>
  <r>
    <x v="80"/>
    <x v="3"/>
    <x v="1"/>
    <s v="Phones"/>
    <n v="370.03"/>
    <n v="17.63"/>
    <s v="Customer A"/>
  </r>
  <r>
    <x v="81"/>
    <x v="2"/>
    <x v="0"/>
    <s v="Accessories"/>
    <n v="705.32"/>
    <n v="138.57"/>
    <s v="Customer D"/>
  </r>
  <r>
    <x v="81"/>
    <x v="3"/>
    <x v="1"/>
    <s v="Chairs"/>
    <n v="985.08"/>
    <n v="-57.12"/>
    <s v="Customer B"/>
  </r>
  <r>
    <x v="81"/>
    <x v="0"/>
    <x v="2"/>
    <s v="Phones"/>
    <n v="172.48"/>
    <n v="-15.42"/>
    <s v="Customer C"/>
  </r>
  <r>
    <x v="82"/>
    <x v="1"/>
    <x v="0"/>
    <s v="Binders"/>
    <n v="716.44"/>
    <n v="193.32"/>
    <s v="Customer A"/>
  </r>
  <r>
    <x v="83"/>
    <x v="2"/>
    <x v="0"/>
    <s v="Tables"/>
    <n v="464.53"/>
    <n v="192.7"/>
    <s v="Customer C"/>
  </r>
  <r>
    <x v="84"/>
    <x v="3"/>
    <x v="1"/>
    <s v="Tables"/>
    <n v="567.96"/>
    <n v="108.3"/>
    <s v="Customer D"/>
  </r>
  <r>
    <x v="84"/>
    <x v="0"/>
    <x v="2"/>
    <s v="Phones"/>
    <n v="981.57"/>
    <n v="93.36"/>
    <s v="Customer A"/>
  </r>
  <r>
    <x v="84"/>
    <x v="2"/>
    <x v="2"/>
    <s v="Binders"/>
    <n v="489.05"/>
    <n v="191.16"/>
    <s v="Customer D"/>
  </r>
  <r>
    <x v="84"/>
    <x v="0"/>
    <x v="0"/>
    <s v="Tables"/>
    <n v="630.73"/>
    <n v="17.16"/>
    <s v="Customer B"/>
  </r>
  <r>
    <x v="85"/>
    <x v="2"/>
    <x v="0"/>
    <s v="Chairs"/>
    <n v="982.52"/>
    <n v="77.83"/>
    <s v="Customer B"/>
  </r>
  <r>
    <x v="85"/>
    <x v="3"/>
    <x v="1"/>
    <s v="Chairs"/>
    <n v="884.61"/>
    <n v="34.44"/>
    <s v="Customer A"/>
  </r>
  <r>
    <x v="85"/>
    <x v="2"/>
    <x v="0"/>
    <s v="Chairs"/>
    <n v="153.94999999999999"/>
    <n v="-69.86"/>
    <s v="Customer B"/>
  </r>
  <r>
    <x v="85"/>
    <x v="3"/>
    <x v="2"/>
    <s v="Accessories"/>
    <n v="742.39"/>
    <n v="249.42"/>
    <s v="Customer B"/>
  </r>
  <r>
    <x v="86"/>
    <x v="2"/>
    <x v="2"/>
    <s v="Phones"/>
    <n v="942.25"/>
    <n v="-30.82"/>
    <s v="Customer B"/>
  </r>
  <r>
    <x v="87"/>
    <x v="3"/>
    <x v="1"/>
    <s v="Binders"/>
    <n v="257.19"/>
    <n v="-84"/>
    <s v="Customer D"/>
  </r>
  <r>
    <x v="87"/>
    <x v="0"/>
    <x v="0"/>
    <s v="Chairs"/>
    <n v="728.42"/>
    <n v="243.34"/>
    <s v="Customer A"/>
  </r>
  <r>
    <x v="88"/>
    <x v="1"/>
    <x v="2"/>
    <s v="Phones"/>
    <n v="927.8"/>
    <n v="170.28"/>
    <s v="Customer B"/>
  </r>
  <r>
    <x v="89"/>
    <x v="3"/>
    <x v="0"/>
    <s v="Chairs"/>
    <n v="587.24"/>
    <n v="296.76"/>
    <s v="Customer B"/>
  </r>
  <r>
    <x v="90"/>
    <x v="3"/>
    <x v="1"/>
    <s v="Accessories"/>
    <n v="795.78"/>
    <n v="224.78"/>
    <s v="Customer A"/>
  </r>
  <r>
    <x v="91"/>
    <x v="0"/>
    <x v="2"/>
    <s v="Phones"/>
    <n v="435.89"/>
    <n v="224.34"/>
    <s v="Customer D"/>
  </r>
  <r>
    <x v="92"/>
    <x v="0"/>
    <x v="0"/>
    <s v="Tables"/>
    <n v="127.21"/>
    <n v="-88.42"/>
    <s v="Customer D"/>
  </r>
  <r>
    <x v="92"/>
    <x v="2"/>
    <x v="0"/>
    <s v="Tables"/>
    <n v="908.26"/>
    <n v="-1.38"/>
    <s v="Customer B"/>
  </r>
  <r>
    <x v="93"/>
    <x v="2"/>
    <x v="2"/>
    <s v="Accessories"/>
    <n v="563.05999999999995"/>
    <n v="259.02"/>
    <s v="Customer B"/>
  </r>
  <r>
    <x v="94"/>
    <x v="0"/>
    <x v="2"/>
    <s v="Binders"/>
    <n v="832.31"/>
    <n v="187.85"/>
    <s v="Customer C"/>
  </r>
  <r>
    <x v="94"/>
    <x v="3"/>
    <x v="2"/>
    <s v="Tables"/>
    <n v="154.97"/>
    <n v="69.87"/>
    <s v="Customer D"/>
  </r>
  <r>
    <x v="95"/>
    <x v="3"/>
    <x v="2"/>
    <s v="Tables"/>
    <n v="646.52"/>
    <n v="223.75"/>
    <s v="Customer A"/>
  </r>
  <r>
    <x v="96"/>
    <x v="3"/>
    <x v="1"/>
    <s v="Phones"/>
    <n v="115.18"/>
    <n v="-67.45"/>
    <s v="Customer C"/>
  </r>
  <r>
    <x v="96"/>
    <x v="1"/>
    <x v="2"/>
    <s v="Accessories"/>
    <n v="726.83"/>
    <n v="252.76"/>
    <s v="Customer A"/>
  </r>
  <r>
    <x v="97"/>
    <x v="1"/>
    <x v="2"/>
    <s v="Phones"/>
    <n v="204.13"/>
    <n v="172.7"/>
    <s v="Customer C"/>
  </r>
  <r>
    <x v="97"/>
    <x v="2"/>
    <x v="2"/>
    <s v="Phones"/>
    <n v="529.88"/>
    <n v="183.61"/>
    <s v="Customer A"/>
  </r>
  <r>
    <x v="97"/>
    <x v="2"/>
    <x v="0"/>
    <s v="Tables"/>
    <n v="548"/>
    <n v="255.62"/>
    <s v="Customer D"/>
  </r>
  <r>
    <x v="98"/>
    <x v="2"/>
    <x v="1"/>
    <s v="Tables"/>
    <n v="317.70999999999998"/>
    <n v="-53.74"/>
    <s v="Customer C"/>
  </r>
  <r>
    <x v="99"/>
    <x v="0"/>
    <x v="1"/>
    <s v="Chairs"/>
    <n v="304.98"/>
    <n v="48.77"/>
    <s v="Customer D"/>
  </r>
  <r>
    <x v="100"/>
    <x v="0"/>
    <x v="2"/>
    <s v="Phones"/>
    <n v="159.53"/>
    <n v="33.79"/>
    <s v="Customer D"/>
  </r>
  <r>
    <x v="101"/>
    <x v="3"/>
    <x v="1"/>
    <s v="Chairs"/>
    <n v="126.27"/>
    <n v="94.56"/>
    <s v="Customer B"/>
  </r>
  <r>
    <x v="102"/>
    <x v="2"/>
    <x v="1"/>
    <s v="Binders"/>
    <n v="317.39999999999998"/>
    <n v="-97.94"/>
    <s v="Customer B"/>
  </r>
  <r>
    <x v="103"/>
    <x v="0"/>
    <x v="2"/>
    <s v="Tables"/>
    <n v="159.04"/>
    <n v="-29.85"/>
    <s v="Customer C"/>
  </r>
  <r>
    <x v="104"/>
    <x v="1"/>
    <x v="1"/>
    <s v="Tables"/>
    <n v="978.6"/>
    <n v="-16.7"/>
    <s v="Customer B"/>
  </r>
  <r>
    <x v="105"/>
    <x v="1"/>
    <x v="2"/>
    <s v="Phones"/>
    <n v="469.27"/>
    <n v="-99.45"/>
    <s v="Customer B"/>
  </r>
  <r>
    <x v="105"/>
    <x v="2"/>
    <x v="1"/>
    <s v="Tables"/>
    <n v="409.05"/>
    <n v="-15.03"/>
    <s v="Customer A"/>
  </r>
  <r>
    <x v="105"/>
    <x v="3"/>
    <x v="0"/>
    <s v="Chairs"/>
    <n v="233.03"/>
    <n v="252.91"/>
    <s v="Customer D"/>
  </r>
  <r>
    <x v="106"/>
    <x v="3"/>
    <x v="0"/>
    <s v="Tables"/>
    <n v="552.45000000000005"/>
    <n v="252.27"/>
    <s v="Customer D"/>
  </r>
  <r>
    <x v="107"/>
    <x v="3"/>
    <x v="1"/>
    <s v="Accessories"/>
    <n v="121.88"/>
    <n v="100.43"/>
    <s v="Customer A"/>
  </r>
  <r>
    <x v="108"/>
    <x v="0"/>
    <x v="1"/>
    <s v="Accessories"/>
    <n v="558.83000000000004"/>
    <n v="286.56"/>
    <s v="Customer A"/>
  </r>
  <r>
    <x v="109"/>
    <x v="3"/>
    <x v="0"/>
    <s v="Accessories"/>
    <n v="501.75"/>
    <n v="211.27"/>
    <s v="Customer A"/>
  </r>
  <r>
    <x v="109"/>
    <x v="0"/>
    <x v="2"/>
    <s v="Binders"/>
    <n v="187.12"/>
    <n v="-55.03"/>
    <s v="Customer A"/>
  </r>
  <r>
    <x v="110"/>
    <x v="2"/>
    <x v="1"/>
    <s v="Binders"/>
    <n v="576.04999999999995"/>
    <n v="-52.99"/>
    <s v="Customer B"/>
  </r>
  <r>
    <x v="111"/>
    <x v="2"/>
    <x v="2"/>
    <s v="Phones"/>
    <n v="501.52"/>
    <n v="242.51"/>
    <s v="Customer D"/>
  </r>
  <r>
    <x v="112"/>
    <x v="2"/>
    <x v="0"/>
    <s v="Binders"/>
    <n v="929.9"/>
    <n v="294.94"/>
    <s v="Customer D"/>
  </r>
  <r>
    <x v="112"/>
    <x v="1"/>
    <x v="0"/>
    <s v="Phones"/>
    <n v="726.82"/>
    <n v="-59.03"/>
    <s v="Customer D"/>
  </r>
  <r>
    <x v="112"/>
    <x v="2"/>
    <x v="2"/>
    <s v="Binders"/>
    <n v="187.53"/>
    <n v="106.26"/>
    <s v="Customer D"/>
  </r>
  <r>
    <x v="112"/>
    <x v="1"/>
    <x v="2"/>
    <s v="Accessories"/>
    <n v="488.58"/>
    <n v="-25.79"/>
    <s v="Customer C"/>
  </r>
  <r>
    <x v="113"/>
    <x v="3"/>
    <x v="0"/>
    <s v="Accessories"/>
    <n v="953.97"/>
    <n v="-36.06"/>
    <s v="Customer C"/>
  </r>
  <r>
    <x v="114"/>
    <x v="2"/>
    <x v="1"/>
    <s v="Binders"/>
    <n v="629.87"/>
    <n v="-28.57"/>
    <s v="Customer A"/>
  </r>
  <r>
    <x v="115"/>
    <x v="1"/>
    <x v="0"/>
    <s v="Chairs"/>
    <n v="673.82"/>
    <n v="70.16"/>
    <s v="Customer A"/>
  </r>
  <r>
    <x v="116"/>
    <x v="2"/>
    <x v="2"/>
    <s v="Tables"/>
    <n v="712.31"/>
    <n v="63.32"/>
    <s v="Customer C"/>
  </r>
  <r>
    <x v="116"/>
    <x v="2"/>
    <x v="1"/>
    <s v="Tables"/>
    <n v="463.82"/>
    <n v="127.14"/>
    <s v="Customer C"/>
  </r>
  <r>
    <x v="117"/>
    <x v="3"/>
    <x v="2"/>
    <s v="Accessories"/>
    <n v="410.25"/>
    <n v="2.77"/>
    <s v="Customer D"/>
  </r>
  <r>
    <x v="118"/>
    <x v="1"/>
    <x v="1"/>
    <s v="Chairs"/>
    <n v="898.26"/>
    <n v="27.29"/>
    <s v="Customer B"/>
  </r>
  <r>
    <x v="119"/>
    <x v="3"/>
    <x v="1"/>
    <s v="Accessories"/>
    <n v="840.17"/>
    <n v="26.62"/>
    <s v="Customer C"/>
  </r>
  <r>
    <x v="119"/>
    <x v="3"/>
    <x v="2"/>
    <s v="Phones"/>
    <n v="190.01"/>
    <n v="267.42"/>
    <s v="Customer C"/>
  </r>
  <r>
    <x v="120"/>
    <x v="1"/>
    <x v="2"/>
    <s v="Chairs"/>
    <n v="497.83"/>
    <n v="272.33"/>
    <s v="Customer D"/>
  </r>
  <r>
    <x v="121"/>
    <x v="2"/>
    <x v="2"/>
    <s v="Accessories"/>
    <n v="450.22"/>
    <n v="-33.58"/>
    <s v="Customer A"/>
  </r>
  <r>
    <x v="121"/>
    <x v="3"/>
    <x v="2"/>
    <s v="Binders"/>
    <n v="355.6"/>
    <n v="281.73"/>
    <s v="Customer A"/>
  </r>
  <r>
    <x v="121"/>
    <x v="0"/>
    <x v="2"/>
    <s v="Accessories"/>
    <n v="196.3"/>
    <n v="-80.260000000000005"/>
    <s v="Customer C"/>
  </r>
  <r>
    <x v="122"/>
    <x v="0"/>
    <x v="1"/>
    <s v="Accessories"/>
    <n v="863.34"/>
    <n v="67.239999999999995"/>
    <s v="Customer D"/>
  </r>
  <r>
    <x v="123"/>
    <x v="1"/>
    <x v="0"/>
    <s v="Tables"/>
    <n v="688.08"/>
    <n v="78.75"/>
    <s v="Customer B"/>
  </r>
  <r>
    <x v="124"/>
    <x v="0"/>
    <x v="0"/>
    <s v="Binders"/>
    <n v="766.09"/>
    <n v="209.38"/>
    <s v="Customer D"/>
  </r>
  <r>
    <x v="124"/>
    <x v="1"/>
    <x v="0"/>
    <s v="Tables"/>
    <n v="102.43"/>
    <n v="-81.28"/>
    <s v="Customer A"/>
  </r>
  <r>
    <x v="124"/>
    <x v="2"/>
    <x v="0"/>
    <s v="Chairs"/>
    <n v="631.91999999999996"/>
    <n v="-26.79"/>
    <s v="Customer A"/>
  </r>
  <r>
    <x v="125"/>
    <x v="3"/>
    <x v="1"/>
    <s v="Binders"/>
    <n v="107.1"/>
    <n v="57.03"/>
    <s v="Customer B"/>
  </r>
  <r>
    <x v="125"/>
    <x v="0"/>
    <x v="1"/>
    <s v="Tables"/>
    <n v="811.76"/>
    <n v="20.16"/>
    <s v="Customer D"/>
  </r>
  <r>
    <x v="125"/>
    <x v="1"/>
    <x v="1"/>
    <s v="Accessories"/>
    <n v="523.55999999999995"/>
    <n v="-29.2"/>
    <s v="Customer B"/>
  </r>
  <r>
    <x v="126"/>
    <x v="2"/>
    <x v="2"/>
    <s v="Binders"/>
    <n v="581.42999999999995"/>
    <n v="79.349999999999994"/>
    <s v="Customer B"/>
  </r>
  <r>
    <x v="127"/>
    <x v="2"/>
    <x v="1"/>
    <s v="Tables"/>
    <n v="660.15"/>
    <n v="-38.65"/>
    <s v="Customer D"/>
  </r>
  <r>
    <x v="127"/>
    <x v="1"/>
    <x v="1"/>
    <s v="Phones"/>
    <n v="691.09"/>
    <n v="63.89"/>
    <s v="Customer D"/>
  </r>
  <r>
    <x v="127"/>
    <x v="1"/>
    <x v="1"/>
    <s v="Binders"/>
    <n v="858.5"/>
    <n v="66.680000000000007"/>
    <s v="Customer A"/>
  </r>
  <r>
    <x v="128"/>
    <x v="1"/>
    <x v="0"/>
    <s v="Phones"/>
    <n v="523.58000000000004"/>
    <n v="-3.13"/>
    <s v="Customer C"/>
  </r>
  <r>
    <x v="129"/>
    <x v="1"/>
    <x v="0"/>
    <s v="Phones"/>
    <n v="725.74"/>
    <n v="109.75"/>
    <s v="Customer A"/>
  </r>
  <r>
    <x v="129"/>
    <x v="3"/>
    <x v="0"/>
    <s v="Binders"/>
    <n v="457.53"/>
    <n v="198.09"/>
    <s v="Customer C"/>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E70368D-C74B-45A7-829E-0C79B2DC380E}"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location ref="A3:B8" firstHeaderRow="1" firstDataRow="1" firstDataCol="1"/>
  <pivotFields count="9">
    <pivotField numFmtId="166" showAll="0">
      <items count="1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t="default"/>
      </items>
    </pivotField>
    <pivotField axis="axisRow" showAll="0">
      <items count="5">
        <item x="1"/>
        <item x="0"/>
        <item x="3"/>
        <item x="2"/>
        <item t="default"/>
      </items>
    </pivotField>
    <pivotField showAll="0">
      <items count="4">
        <item x="0"/>
        <item x="2"/>
        <item x="1"/>
        <item t="default"/>
      </items>
    </pivotField>
    <pivotField showAll="0"/>
    <pivotField dataField="1" numFmtId="167" showAll="0"/>
    <pivotField numFmtId="167"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dataFields count="1">
    <dataField name="Sum of Sales" fld="4" baseField="0" baseItem="0" numFmtId="167"/>
  </dataFields>
  <chartFormats count="1">
    <chartFormat chart="3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C4CA6E8-6CFD-4C45-A7EE-EA0AB8B243E4}"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9">
    <pivotField numFmtId="166" showAll="0">
      <items count="1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t="default"/>
      </items>
    </pivotField>
    <pivotField showAll="0">
      <items count="5">
        <item x="1"/>
        <item x="0"/>
        <item x="3"/>
        <item x="2"/>
        <item t="default"/>
      </items>
    </pivotField>
    <pivotField axis="axisRow" showAll="0">
      <items count="4">
        <item x="0"/>
        <item x="2"/>
        <item x="1"/>
        <item t="default"/>
      </items>
    </pivotField>
    <pivotField showAll="0"/>
    <pivotField dataField="1" numFmtId="167" showAll="0"/>
    <pivotField numFmtId="167"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4">
    <i>
      <x/>
    </i>
    <i>
      <x v="1"/>
    </i>
    <i>
      <x v="2"/>
    </i>
    <i t="grand">
      <x/>
    </i>
  </rowItems>
  <colItems count="1">
    <i/>
  </colItems>
  <dataFields count="1">
    <dataField name="Sum of Sales" fld="4" baseField="0" baseItem="0" numFmtId="167"/>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929E715-4207-4088-9298-AF592E0C8295}" name="PivotTable4"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1" firstHeaderRow="1" firstDataRow="1" firstDataCol="1"/>
  <pivotFields count="9">
    <pivotField axis="axisRow" numFmtId="166" showAll="0">
      <items count="1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t="default"/>
      </items>
    </pivotField>
    <pivotField showAll="0">
      <items count="5">
        <item x="1"/>
        <item x="0"/>
        <item x="3"/>
        <item x="2"/>
        <item t="default"/>
      </items>
    </pivotField>
    <pivotField showAll="0"/>
    <pivotField showAll="0"/>
    <pivotField dataField="1" numFmtId="167" showAll="0"/>
    <pivotField numFmtId="167" showAll="0"/>
    <pivotField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3">
    <field x="8"/>
    <field x="7"/>
    <field x="0"/>
  </rowFields>
  <rowItems count="8">
    <i>
      <x v="1"/>
    </i>
    <i>
      <x v="2"/>
    </i>
    <i>
      <x v="3"/>
    </i>
    <i>
      <x v="4"/>
    </i>
    <i>
      <x v="5"/>
    </i>
    <i>
      <x v="6"/>
    </i>
    <i>
      <x v="7"/>
    </i>
    <i t="grand">
      <x/>
    </i>
  </rowItems>
  <colItems count="1">
    <i/>
  </colItems>
  <dataFields count="1">
    <dataField name="Sum of Sales" fld="4" baseField="0" baseItem="0" numFmtId="167"/>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00059D4-3A07-4E26-ADE6-4880A8549942}" sourceName="Region">
  <pivotTables>
    <pivotTable tabId="2" name="PivotTable1"/>
    <pivotTable tabId="3" name="PivotTable2"/>
    <pivotTable tabId="6" name="PivotTable4"/>
  </pivotTables>
  <data>
    <tabular pivotCacheId="839097473">
      <items count="4">
        <i x="1" s="1"/>
        <i x="0"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009B1D1-5AF6-42E7-AAFC-4AF65D0ADC51}" sourceName="Category">
  <pivotTables>
    <pivotTable tabId="2" name="PivotTable1"/>
    <pivotTable tabId="3" name="PivotTable2"/>
  </pivotTables>
  <data>
    <tabular pivotCacheId="839097473">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E8AFE8B-69AE-4AA3-878D-9EDB4FADB760}" cache="Slicer_Region" caption="Region" rowHeight="234950"/>
  <slicer name="Category" xr10:uid="{219EE304-C445-4662-97F0-CF9A116C402F}" cache="Slicer_Category" caption="Category"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01"/>
  <sheetViews>
    <sheetView zoomScale="87" workbookViewId="0">
      <selection activeCell="I14" sqref="I14"/>
    </sheetView>
  </sheetViews>
  <sheetFormatPr defaultRowHeight="14.4" x14ac:dyDescent="0.3"/>
  <cols>
    <col min="1" max="1" width="10.33203125" style="3" bestFit="1" customWidth="1"/>
    <col min="5" max="6" width="8.88671875" style="5"/>
  </cols>
  <sheetData>
    <row r="1" spans="1:7" x14ac:dyDescent="0.3">
      <c r="A1" s="2" t="s">
        <v>0</v>
      </c>
      <c r="B1" s="1" t="s">
        <v>1</v>
      </c>
      <c r="C1" s="1" t="s">
        <v>2</v>
      </c>
      <c r="D1" s="1" t="s">
        <v>3</v>
      </c>
      <c r="E1" s="4" t="s">
        <v>4</v>
      </c>
      <c r="F1" s="4" t="s">
        <v>5</v>
      </c>
      <c r="G1" s="1" t="s">
        <v>6</v>
      </c>
    </row>
    <row r="2" spans="1:7" x14ac:dyDescent="0.3">
      <c r="A2" s="3">
        <v>44562</v>
      </c>
      <c r="B2" t="s">
        <v>9</v>
      </c>
      <c r="C2" t="s">
        <v>13</v>
      </c>
      <c r="D2" t="s">
        <v>15</v>
      </c>
      <c r="E2" s="5">
        <v>416.7</v>
      </c>
      <c r="F2" s="5">
        <v>95.07</v>
      </c>
      <c r="G2" t="s">
        <v>21</v>
      </c>
    </row>
    <row r="3" spans="1:7" x14ac:dyDescent="0.3">
      <c r="A3" s="3">
        <v>44562</v>
      </c>
      <c r="B3" t="s">
        <v>9</v>
      </c>
      <c r="C3" t="s">
        <v>13</v>
      </c>
      <c r="D3" t="s">
        <v>14</v>
      </c>
      <c r="E3" s="5">
        <v>569.79999999999995</v>
      </c>
      <c r="F3" s="5">
        <v>154.97999999999999</v>
      </c>
      <c r="G3" t="s">
        <v>21</v>
      </c>
    </row>
    <row r="4" spans="1:7" x14ac:dyDescent="0.3">
      <c r="A4" s="3">
        <v>44563</v>
      </c>
      <c r="B4" t="s">
        <v>9</v>
      </c>
      <c r="C4" t="s">
        <v>13</v>
      </c>
      <c r="D4" t="s">
        <v>16</v>
      </c>
      <c r="E4" s="5">
        <v>244.42</v>
      </c>
      <c r="F4" s="5">
        <v>81.239999999999995</v>
      </c>
      <c r="G4" t="s">
        <v>21</v>
      </c>
    </row>
    <row r="5" spans="1:7" x14ac:dyDescent="0.3">
      <c r="A5" s="3">
        <v>44564</v>
      </c>
      <c r="B5" t="s">
        <v>8</v>
      </c>
      <c r="C5" t="s">
        <v>12</v>
      </c>
      <c r="D5" t="s">
        <v>18</v>
      </c>
      <c r="E5" s="5">
        <v>344.13</v>
      </c>
      <c r="F5" s="5">
        <v>35.85</v>
      </c>
      <c r="G5" t="s">
        <v>19</v>
      </c>
    </row>
    <row r="6" spans="1:7" x14ac:dyDescent="0.3">
      <c r="A6" s="3">
        <v>44564</v>
      </c>
      <c r="B6" t="s">
        <v>7</v>
      </c>
      <c r="C6" t="s">
        <v>13</v>
      </c>
      <c r="D6" t="s">
        <v>18</v>
      </c>
      <c r="E6" s="5">
        <v>464.84</v>
      </c>
      <c r="F6" s="5">
        <v>191.02</v>
      </c>
      <c r="G6" t="s">
        <v>19</v>
      </c>
    </row>
    <row r="7" spans="1:7" x14ac:dyDescent="0.3">
      <c r="A7" s="3">
        <v>44565</v>
      </c>
      <c r="B7" t="s">
        <v>7</v>
      </c>
      <c r="C7" t="s">
        <v>11</v>
      </c>
      <c r="D7" t="s">
        <v>16</v>
      </c>
      <c r="E7" s="5">
        <v>388.94</v>
      </c>
      <c r="F7" s="5">
        <v>15.97</v>
      </c>
      <c r="G7" t="s">
        <v>22</v>
      </c>
    </row>
    <row r="8" spans="1:7" x14ac:dyDescent="0.3">
      <c r="A8" s="3">
        <v>44566</v>
      </c>
      <c r="B8" t="s">
        <v>9</v>
      </c>
      <c r="C8" t="s">
        <v>13</v>
      </c>
      <c r="D8" t="s">
        <v>18</v>
      </c>
      <c r="E8" s="5">
        <v>566.33000000000004</v>
      </c>
      <c r="F8" s="5">
        <v>60.57</v>
      </c>
      <c r="G8" t="s">
        <v>22</v>
      </c>
    </row>
    <row r="9" spans="1:7" x14ac:dyDescent="0.3">
      <c r="A9" s="3">
        <v>44568</v>
      </c>
      <c r="B9" t="s">
        <v>8</v>
      </c>
      <c r="C9" t="s">
        <v>13</v>
      </c>
      <c r="D9" t="s">
        <v>18</v>
      </c>
      <c r="E9" s="5">
        <v>425.97</v>
      </c>
      <c r="F9" s="5">
        <v>56.72</v>
      </c>
      <c r="G9" t="s">
        <v>22</v>
      </c>
    </row>
    <row r="10" spans="1:7" x14ac:dyDescent="0.3">
      <c r="A10" s="3">
        <v>44571</v>
      </c>
      <c r="B10" t="s">
        <v>7</v>
      </c>
      <c r="C10" t="s">
        <v>13</v>
      </c>
      <c r="D10" t="s">
        <v>15</v>
      </c>
      <c r="E10" s="5">
        <v>284.43</v>
      </c>
      <c r="F10" s="5">
        <v>73.19</v>
      </c>
      <c r="G10" t="s">
        <v>22</v>
      </c>
    </row>
    <row r="11" spans="1:7" x14ac:dyDescent="0.3">
      <c r="A11" s="3">
        <v>44571</v>
      </c>
      <c r="B11" t="s">
        <v>7</v>
      </c>
      <c r="C11" t="s">
        <v>11</v>
      </c>
      <c r="D11" t="s">
        <v>16</v>
      </c>
      <c r="E11" s="5">
        <v>288.77</v>
      </c>
      <c r="F11" s="5">
        <v>98.39</v>
      </c>
      <c r="G11" t="s">
        <v>22</v>
      </c>
    </row>
    <row r="12" spans="1:7" x14ac:dyDescent="0.3">
      <c r="A12" s="3">
        <v>44571</v>
      </c>
      <c r="B12" t="s">
        <v>10</v>
      </c>
      <c r="C12" t="s">
        <v>12</v>
      </c>
      <c r="D12" t="s">
        <v>17</v>
      </c>
      <c r="E12" s="5">
        <v>187.52</v>
      </c>
      <c r="F12" s="5">
        <v>119.8</v>
      </c>
      <c r="G12" t="s">
        <v>22</v>
      </c>
    </row>
    <row r="13" spans="1:7" x14ac:dyDescent="0.3">
      <c r="A13" s="3">
        <v>44572</v>
      </c>
      <c r="B13" t="s">
        <v>7</v>
      </c>
      <c r="C13" t="s">
        <v>13</v>
      </c>
      <c r="D13" t="s">
        <v>16</v>
      </c>
      <c r="E13" s="5">
        <v>511.35</v>
      </c>
      <c r="F13" s="5">
        <v>-43.87</v>
      </c>
      <c r="G13" t="s">
        <v>22</v>
      </c>
    </row>
    <row r="14" spans="1:7" x14ac:dyDescent="0.3">
      <c r="A14" s="3">
        <v>44573</v>
      </c>
      <c r="B14" t="s">
        <v>10</v>
      </c>
      <c r="C14" t="s">
        <v>11</v>
      </c>
      <c r="D14" t="s">
        <v>15</v>
      </c>
      <c r="E14" s="5">
        <v>168.84</v>
      </c>
      <c r="F14" s="5">
        <v>227.21</v>
      </c>
      <c r="G14" t="s">
        <v>22</v>
      </c>
    </row>
    <row r="15" spans="1:7" x14ac:dyDescent="0.3">
      <c r="A15" s="3">
        <v>44573</v>
      </c>
      <c r="B15" t="s">
        <v>7</v>
      </c>
      <c r="C15" t="s">
        <v>13</v>
      </c>
      <c r="D15" t="s">
        <v>17</v>
      </c>
      <c r="E15" s="5">
        <v>205.58</v>
      </c>
      <c r="F15" s="5">
        <v>13.13</v>
      </c>
      <c r="G15" t="s">
        <v>21</v>
      </c>
    </row>
    <row r="16" spans="1:7" x14ac:dyDescent="0.3">
      <c r="A16" s="3">
        <v>44575</v>
      </c>
      <c r="B16" t="s">
        <v>7</v>
      </c>
      <c r="C16" t="s">
        <v>11</v>
      </c>
      <c r="D16" t="s">
        <v>14</v>
      </c>
      <c r="E16" s="5">
        <v>198.81</v>
      </c>
      <c r="F16" s="5">
        <v>218.24</v>
      </c>
      <c r="G16" t="s">
        <v>22</v>
      </c>
    </row>
    <row r="17" spans="1:7" x14ac:dyDescent="0.3">
      <c r="A17" s="3">
        <v>44576</v>
      </c>
      <c r="B17" t="s">
        <v>7</v>
      </c>
      <c r="C17" t="s">
        <v>13</v>
      </c>
      <c r="D17" t="s">
        <v>17</v>
      </c>
      <c r="E17" s="5">
        <v>252.12</v>
      </c>
      <c r="F17" s="5">
        <v>177.66</v>
      </c>
      <c r="G17" t="s">
        <v>19</v>
      </c>
    </row>
    <row r="18" spans="1:7" x14ac:dyDescent="0.3">
      <c r="A18" s="3">
        <v>44576</v>
      </c>
      <c r="B18" t="s">
        <v>8</v>
      </c>
      <c r="C18" t="s">
        <v>12</v>
      </c>
      <c r="D18" t="s">
        <v>14</v>
      </c>
      <c r="E18" s="5">
        <v>271.51</v>
      </c>
      <c r="F18" s="5">
        <v>246.72</v>
      </c>
      <c r="G18" t="s">
        <v>21</v>
      </c>
    </row>
    <row r="19" spans="1:7" x14ac:dyDescent="0.3">
      <c r="A19" s="3">
        <v>44578</v>
      </c>
      <c r="B19" t="s">
        <v>10</v>
      </c>
      <c r="C19" t="s">
        <v>13</v>
      </c>
      <c r="D19" t="s">
        <v>14</v>
      </c>
      <c r="E19" s="5">
        <v>338.54</v>
      </c>
      <c r="F19" s="5">
        <v>-51.95</v>
      </c>
      <c r="G19" t="s">
        <v>19</v>
      </c>
    </row>
    <row r="20" spans="1:7" x14ac:dyDescent="0.3">
      <c r="A20" s="3">
        <v>44579</v>
      </c>
      <c r="B20" t="s">
        <v>9</v>
      </c>
      <c r="C20" t="s">
        <v>11</v>
      </c>
      <c r="D20" t="s">
        <v>14</v>
      </c>
      <c r="E20" s="5">
        <v>846.91</v>
      </c>
      <c r="F20" s="5">
        <v>286.45999999999998</v>
      </c>
      <c r="G20" t="s">
        <v>19</v>
      </c>
    </row>
    <row r="21" spans="1:7" x14ac:dyDescent="0.3">
      <c r="A21" s="3">
        <v>44581</v>
      </c>
      <c r="B21" t="s">
        <v>8</v>
      </c>
      <c r="C21" t="s">
        <v>11</v>
      </c>
      <c r="D21" t="s">
        <v>15</v>
      </c>
      <c r="E21" s="5">
        <v>459.25</v>
      </c>
      <c r="F21" s="5">
        <v>259.58</v>
      </c>
      <c r="G21" t="s">
        <v>22</v>
      </c>
    </row>
    <row r="22" spans="1:7" x14ac:dyDescent="0.3">
      <c r="A22" s="3">
        <v>44581</v>
      </c>
      <c r="B22" t="s">
        <v>10</v>
      </c>
      <c r="C22" t="s">
        <v>12</v>
      </c>
      <c r="D22" t="s">
        <v>16</v>
      </c>
      <c r="E22" s="5">
        <v>963.23</v>
      </c>
      <c r="F22" s="5">
        <v>-43.4</v>
      </c>
      <c r="G22" t="s">
        <v>21</v>
      </c>
    </row>
    <row r="23" spans="1:7" x14ac:dyDescent="0.3">
      <c r="A23" s="3">
        <v>44583</v>
      </c>
      <c r="B23" t="s">
        <v>7</v>
      </c>
      <c r="C23" t="s">
        <v>13</v>
      </c>
      <c r="D23" t="s">
        <v>17</v>
      </c>
      <c r="E23" s="5">
        <v>407.53</v>
      </c>
      <c r="F23" s="5">
        <v>111.29</v>
      </c>
      <c r="G23" t="s">
        <v>19</v>
      </c>
    </row>
    <row r="24" spans="1:7" x14ac:dyDescent="0.3">
      <c r="A24" s="3">
        <v>44585</v>
      </c>
      <c r="B24" t="s">
        <v>10</v>
      </c>
      <c r="C24" t="s">
        <v>11</v>
      </c>
      <c r="D24" t="s">
        <v>16</v>
      </c>
      <c r="E24" s="5">
        <v>314.57</v>
      </c>
      <c r="F24" s="5">
        <v>40.770000000000003</v>
      </c>
      <c r="G24" t="s">
        <v>20</v>
      </c>
    </row>
    <row r="25" spans="1:7" x14ac:dyDescent="0.3">
      <c r="A25" s="3">
        <v>44585</v>
      </c>
      <c r="B25" t="s">
        <v>9</v>
      </c>
      <c r="C25" t="s">
        <v>13</v>
      </c>
      <c r="D25" t="s">
        <v>16</v>
      </c>
      <c r="E25" s="5">
        <v>770.86</v>
      </c>
      <c r="F25" s="5">
        <v>186.02</v>
      </c>
      <c r="G25" t="s">
        <v>19</v>
      </c>
    </row>
    <row r="26" spans="1:7" x14ac:dyDescent="0.3">
      <c r="A26" s="3">
        <v>44586</v>
      </c>
      <c r="B26" t="s">
        <v>10</v>
      </c>
      <c r="C26" t="s">
        <v>12</v>
      </c>
      <c r="D26" t="s">
        <v>18</v>
      </c>
      <c r="E26" s="5">
        <v>199.43</v>
      </c>
      <c r="F26" s="5">
        <v>265.99</v>
      </c>
      <c r="G26" t="s">
        <v>21</v>
      </c>
    </row>
    <row r="27" spans="1:7" x14ac:dyDescent="0.3">
      <c r="A27" s="3">
        <v>44587</v>
      </c>
      <c r="B27" t="s">
        <v>9</v>
      </c>
      <c r="C27" t="s">
        <v>12</v>
      </c>
      <c r="D27" t="s">
        <v>16</v>
      </c>
      <c r="E27" s="5">
        <v>408.35</v>
      </c>
      <c r="F27" s="5">
        <v>50.56</v>
      </c>
      <c r="G27" t="s">
        <v>22</v>
      </c>
    </row>
    <row r="28" spans="1:7" x14ac:dyDescent="0.3">
      <c r="A28" s="3">
        <v>44590</v>
      </c>
      <c r="B28" t="s">
        <v>8</v>
      </c>
      <c r="C28" t="s">
        <v>12</v>
      </c>
      <c r="D28" t="s">
        <v>16</v>
      </c>
      <c r="E28" s="5">
        <v>656.94</v>
      </c>
      <c r="F28" s="5">
        <v>243.51</v>
      </c>
      <c r="G28" t="s">
        <v>19</v>
      </c>
    </row>
    <row r="29" spans="1:7" x14ac:dyDescent="0.3">
      <c r="A29" s="3">
        <v>44591</v>
      </c>
      <c r="B29" t="s">
        <v>7</v>
      </c>
      <c r="C29" t="s">
        <v>13</v>
      </c>
      <c r="D29" t="s">
        <v>17</v>
      </c>
      <c r="E29" s="5">
        <v>966.49</v>
      </c>
      <c r="F29" s="5">
        <v>145.15</v>
      </c>
      <c r="G29" t="s">
        <v>22</v>
      </c>
    </row>
    <row r="30" spans="1:7" x14ac:dyDescent="0.3">
      <c r="A30" s="3">
        <v>44592</v>
      </c>
      <c r="B30" t="s">
        <v>10</v>
      </c>
      <c r="C30" t="s">
        <v>13</v>
      </c>
      <c r="D30" t="s">
        <v>17</v>
      </c>
      <c r="E30" s="5">
        <v>583.23</v>
      </c>
      <c r="F30" s="5">
        <v>42.94</v>
      </c>
      <c r="G30" t="s">
        <v>22</v>
      </c>
    </row>
    <row r="31" spans="1:7" x14ac:dyDescent="0.3">
      <c r="A31" s="3">
        <v>44593</v>
      </c>
      <c r="B31" t="s">
        <v>8</v>
      </c>
      <c r="C31" t="s">
        <v>13</v>
      </c>
      <c r="D31" t="s">
        <v>16</v>
      </c>
      <c r="E31" s="5">
        <v>181.8</v>
      </c>
      <c r="F31" s="5">
        <v>250.96</v>
      </c>
      <c r="G31" t="s">
        <v>20</v>
      </c>
    </row>
    <row r="32" spans="1:7" x14ac:dyDescent="0.3">
      <c r="A32" s="3">
        <v>44593</v>
      </c>
      <c r="B32" t="s">
        <v>9</v>
      </c>
      <c r="C32" t="s">
        <v>12</v>
      </c>
      <c r="D32" t="s">
        <v>17</v>
      </c>
      <c r="E32" s="5">
        <v>956.93</v>
      </c>
      <c r="F32" s="5">
        <v>269.10000000000002</v>
      </c>
      <c r="G32" t="s">
        <v>21</v>
      </c>
    </row>
    <row r="33" spans="1:7" x14ac:dyDescent="0.3">
      <c r="A33" s="3">
        <v>44594</v>
      </c>
      <c r="B33" t="s">
        <v>7</v>
      </c>
      <c r="C33" t="s">
        <v>11</v>
      </c>
      <c r="D33" t="s">
        <v>16</v>
      </c>
      <c r="E33" s="5">
        <v>400.57</v>
      </c>
      <c r="F33" s="5">
        <v>103.05</v>
      </c>
      <c r="G33" t="s">
        <v>19</v>
      </c>
    </row>
    <row r="34" spans="1:7" x14ac:dyDescent="0.3">
      <c r="A34" s="3">
        <v>44594</v>
      </c>
      <c r="B34" t="s">
        <v>10</v>
      </c>
      <c r="C34" t="s">
        <v>13</v>
      </c>
      <c r="D34" t="s">
        <v>18</v>
      </c>
      <c r="E34" s="5">
        <v>724.56</v>
      </c>
      <c r="F34" s="5">
        <v>6.88</v>
      </c>
      <c r="G34" t="s">
        <v>19</v>
      </c>
    </row>
    <row r="35" spans="1:7" x14ac:dyDescent="0.3">
      <c r="A35" s="3">
        <v>44594</v>
      </c>
      <c r="B35" t="s">
        <v>7</v>
      </c>
      <c r="C35" t="s">
        <v>11</v>
      </c>
      <c r="D35" t="s">
        <v>16</v>
      </c>
      <c r="E35" s="5">
        <v>704.25</v>
      </c>
      <c r="F35" s="5">
        <v>-40.880000000000003</v>
      </c>
      <c r="G35" t="s">
        <v>20</v>
      </c>
    </row>
    <row r="36" spans="1:7" x14ac:dyDescent="0.3">
      <c r="A36" s="3">
        <v>44596</v>
      </c>
      <c r="B36" t="s">
        <v>7</v>
      </c>
      <c r="C36" t="s">
        <v>11</v>
      </c>
      <c r="D36" t="s">
        <v>14</v>
      </c>
      <c r="E36" s="5">
        <v>220.12</v>
      </c>
      <c r="F36" s="5">
        <v>83.4</v>
      </c>
      <c r="G36" t="s">
        <v>19</v>
      </c>
    </row>
    <row r="37" spans="1:7" x14ac:dyDescent="0.3">
      <c r="A37" s="3">
        <v>44597</v>
      </c>
      <c r="B37" t="s">
        <v>7</v>
      </c>
      <c r="C37" t="s">
        <v>13</v>
      </c>
      <c r="D37" t="s">
        <v>15</v>
      </c>
      <c r="E37" s="5">
        <v>244.21</v>
      </c>
      <c r="F37" s="5">
        <v>-44.37</v>
      </c>
      <c r="G37" t="s">
        <v>21</v>
      </c>
    </row>
    <row r="38" spans="1:7" x14ac:dyDescent="0.3">
      <c r="A38" s="3">
        <v>44598</v>
      </c>
      <c r="B38" t="s">
        <v>10</v>
      </c>
      <c r="C38" t="s">
        <v>13</v>
      </c>
      <c r="D38" t="s">
        <v>15</v>
      </c>
      <c r="E38" s="5">
        <v>708.62</v>
      </c>
      <c r="F38" s="5">
        <v>39.78</v>
      </c>
      <c r="G38" t="s">
        <v>19</v>
      </c>
    </row>
    <row r="39" spans="1:7" x14ac:dyDescent="0.3">
      <c r="A39" s="3">
        <v>44598</v>
      </c>
      <c r="B39" t="s">
        <v>7</v>
      </c>
      <c r="C39" t="s">
        <v>12</v>
      </c>
      <c r="D39" t="s">
        <v>17</v>
      </c>
      <c r="E39" s="5">
        <v>831.75</v>
      </c>
      <c r="F39" s="5">
        <v>-74.58</v>
      </c>
      <c r="G39" t="s">
        <v>20</v>
      </c>
    </row>
    <row r="40" spans="1:7" x14ac:dyDescent="0.3">
      <c r="A40" s="3">
        <v>44598</v>
      </c>
      <c r="B40" t="s">
        <v>7</v>
      </c>
      <c r="C40" t="s">
        <v>11</v>
      </c>
      <c r="D40" t="s">
        <v>18</v>
      </c>
      <c r="E40" s="5">
        <v>204.25</v>
      </c>
      <c r="F40" s="5">
        <v>93.41</v>
      </c>
      <c r="G40" t="s">
        <v>22</v>
      </c>
    </row>
    <row r="41" spans="1:7" x14ac:dyDescent="0.3">
      <c r="A41" s="3">
        <v>44600</v>
      </c>
      <c r="B41" t="s">
        <v>9</v>
      </c>
      <c r="C41" t="s">
        <v>12</v>
      </c>
      <c r="D41" t="s">
        <v>16</v>
      </c>
      <c r="E41" s="5">
        <v>930.98</v>
      </c>
      <c r="F41" s="5">
        <v>50.7</v>
      </c>
      <c r="G41" t="s">
        <v>21</v>
      </c>
    </row>
    <row r="42" spans="1:7" x14ac:dyDescent="0.3">
      <c r="A42" s="3">
        <v>44600</v>
      </c>
      <c r="B42" t="s">
        <v>10</v>
      </c>
      <c r="C42" t="s">
        <v>11</v>
      </c>
      <c r="D42" t="s">
        <v>15</v>
      </c>
      <c r="E42" s="5">
        <v>675.27</v>
      </c>
      <c r="F42" s="5">
        <v>96.76</v>
      </c>
      <c r="G42" t="s">
        <v>21</v>
      </c>
    </row>
    <row r="43" spans="1:7" x14ac:dyDescent="0.3">
      <c r="A43" s="3">
        <v>44601</v>
      </c>
      <c r="B43" t="s">
        <v>7</v>
      </c>
      <c r="C43" t="s">
        <v>12</v>
      </c>
      <c r="D43" t="s">
        <v>17</v>
      </c>
      <c r="E43" s="5">
        <v>435.41</v>
      </c>
      <c r="F43" s="5">
        <v>251.35</v>
      </c>
      <c r="G43" t="s">
        <v>19</v>
      </c>
    </row>
    <row r="44" spans="1:7" x14ac:dyDescent="0.3">
      <c r="A44" s="3">
        <v>44602</v>
      </c>
      <c r="B44" t="s">
        <v>8</v>
      </c>
      <c r="C44" t="s">
        <v>13</v>
      </c>
      <c r="D44" t="s">
        <v>16</v>
      </c>
      <c r="E44" s="5">
        <v>732.9</v>
      </c>
      <c r="F44" s="5">
        <v>208.35</v>
      </c>
      <c r="G44" t="s">
        <v>21</v>
      </c>
    </row>
    <row r="45" spans="1:7" x14ac:dyDescent="0.3">
      <c r="A45" s="3">
        <v>44603</v>
      </c>
      <c r="B45" t="s">
        <v>9</v>
      </c>
      <c r="C45" t="s">
        <v>11</v>
      </c>
      <c r="D45" t="s">
        <v>16</v>
      </c>
      <c r="E45" s="5">
        <v>873.62</v>
      </c>
      <c r="F45" s="5">
        <v>267.8</v>
      </c>
      <c r="G45" t="s">
        <v>21</v>
      </c>
    </row>
    <row r="46" spans="1:7" x14ac:dyDescent="0.3">
      <c r="A46" s="3">
        <v>44604</v>
      </c>
      <c r="B46" t="s">
        <v>7</v>
      </c>
      <c r="C46" t="s">
        <v>11</v>
      </c>
      <c r="D46" t="s">
        <v>18</v>
      </c>
      <c r="E46" s="5">
        <v>257.29000000000002</v>
      </c>
      <c r="F46" s="5">
        <v>-13.42</v>
      </c>
      <c r="G46" t="s">
        <v>22</v>
      </c>
    </row>
    <row r="47" spans="1:7" x14ac:dyDescent="0.3">
      <c r="A47" s="3">
        <v>44604</v>
      </c>
      <c r="B47" t="s">
        <v>9</v>
      </c>
      <c r="C47" t="s">
        <v>13</v>
      </c>
      <c r="D47" t="s">
        <v>14</v>
      </c>
      <c r="E47" s="5">
        <v>232.92</v>
      </c>
      <c r="F47" s="5">
        <v>-36.340000000000003</v>
      </c>
      <c r="G47" t="s">
        <v>19</v>
      </c>
    </row>
    <row r="48" spans="1:7" x14ac:dyDescent="0.3">
      <c r="A48" s="3">
        <v>44604</v>
      </c>
      <c r="B48" t="s">
        <v>7</v>
      </c>
      <c r="C48" t="s">
        <v>12</v>
      </c>
      <c r="D48" t="s">
        <v>17</v>
      </c>
      <c r="E48" s="5">
        <v>653.07000000000005</v>
      </c>
      <c r="F48" s="5">
        <v>113.07</v>
      </c>
      <c r="G48" t="s">
        <v>20</v>
      </c>
    </row>
    <row r="49" spans="1:7" x14ac:dyDescent="0.3">
      <c r="A49" s="3">
        <v>44605</v>
      </c>
      <c r="B49" t="s">
        <v>10</v>
      </c>
      <c r="C49" t="s">
        <v>12</v>
      </c>
      <c r="D49" t="s">
        <v>18</v>
      </c>
      <c r="E49" s="5">
        <v>205.59</v>
      </c>
      <c r="F49" s="5">
        <v>265.95</v>
      </c>
      <c r="G49" t="s">
        <v>20</v>
      </c>
    </row>
    <row r="50" spans="1:7" x14ac:dyDescent="0.3">
      <c r="A50" s="3">
        <v>44605</v>
      </c>
      <c r="B50" t="s">
        <v>9</v>
      </c>
      <c r="C50" t="s">
        <v>11</v>
      </c>
      <c r="D50" t="s">
        <v>17</v>
      </c>
      <c r="E50" s="5">
        <v>481.34</v>
      </c>
      <c r="F50" s="5">
        <v>274.85000000000002</v>
      </c>
      <c r="G50" t="s">
        <v>22</v>
      </c>
    </row>
    <row r="51" spans="1:7" x14ac:dyDescent="0.3">
      <c r="A51" s="3">
        <v>44609</v>
      </c>
      <c r="B51" t="s">
        <v>8</v>
      </c>
      <c r="C51" t="s">
        <v>12</v>
      </c>
      <c r="D51" t="s">
        <v>15</v>
      </c>
      <c r="E51" s="5">
        <v>194.17</v>
      </c>
      <c r="F51" s="5">
        <v>-35.15</v>
      </c>
      <c r="G51" t="s">
        <v>20</v>
      </c>
    </row>
    <row r="52" spans="1:7" x14ac:dyDescent="0.3">
      <c r="A52" s="3">
        <v>44609</v>
      </c>
      <c r="B52" t="s">
        <v>8</v>
      </c>
      <c r="C52" t="s">
        <v>13</v>
      </c>
      <c r="D52" t="s">
        <v>16</v>
      </c>
      <c r="E52" s="5">
        <v>440.42</v>
      </c>
      <c r="F52" s="5">
        <v>0.16</v>
      </c>
      <c r="G52" t="s">
        <v>19</v>
      </c>
    </row>
    <row r="53" spans="1:7" x14ac:dyDescent="0.3">
      <c r="A53" s="3">
        <v>44610</v>
      </c>
      <c r="B53" t="s">
        <v>9</v>
      </c>
      <c r="C53" t="s">
        <v>12</v>
      </c>
      <c r="D53" t="s">
        <v>14</v>
      </c>
      <c r="E53" s="5">
        <v>403.73</v>
      </c>
      <c r="F53" s="5">
        <v>148.66999999999999</v>
      </c>
      <c r="G53" t="s">
        <v>22</v>
      </c>
    </row>
    <row r="54" spans="1:7" x14ac:dyDescent="0.3">
      <c r="A54" s="3">
        <v>44610</v>
      </c>
      <c r="B54" t="s">
        <v>7</v>
      </c>
      <c r="C54" t="s">
        <v>11</v>
      </c>
      <c r="D54" t="s">
        <v>15</v>
      </c>
      <c r="E54" s="5">
        <v>900.81</v>
      </c>
      <c r="F54" s="5">
        <v>272.95999999999998</v>
      </c>
      <c r="G54" t="s">
        <v>21</v>
      </c>
    </row>
    <row r="55" spans="1:7" x14ac:dyDescent="0.3">
      <c r="A55" s="3">
        <v>44611</v>
      </c>
      <c r="B55" t="s">
        <v>8</v>
      </c>
      <c r="C55" t="s">
        <v>11</v>
      </c>
      <c r="D55" t="s">
        <v>18</v>
      </c>
      <c r="E55" s="5">
        <v>973.44</v>
      </c>
      <c r="F55" s="5">
        <v>15.43</v>
      </c>
      <c r="G55" t="s">
        <v>19</v>
      </c>
    </row>
    <row r="56" spans="1:7" x14ac:dyDescent="0.3">
      <c r="A56" s="3">
        <v>44612</v>
      </c>
      <c r="B56" t="s">
        <v>8</v>
      </c>
      <c r="C56" t="s">
        <v>13</v>
      </c>
      <c r="D56" t="s">
        <v>14</v>
      </c>
      <c r="E56" s="5">
        <v>622.97</v>
      </c>
      <c r="F56" s="5">
        <v>194.91</v>
      </c>
      <c r="G56" t="s">
        <v>22</v>
      </c>
    </row>
    <row r="57" spans="1:7" x14ac:dyDescent="0.3">
      <c r="A57" s="3">
        <v>44613</v>
      </c>
      <c r="B57" t="s">
        <v>10</v>
      </c>
      <c r="C57" t="s">
        <v>13</v>
      </c>
      <c r="D57" t="s">
        <v>16</v>
      </c>
      <c r="E57" s="5">
        <v>463.41</v>
      </c>
      <c r="F57" s="5">
        <v>140.09</v>
      </c>
      <c r="G57" t="s">
        <v>20</v>
      </c>
    </row>
    <row r="58" spans="1:7" x14ac:dyDescent="0.3">
      <c r="A58" s="3">
        <v>44615</v>
      </c>
      <c r="B58" t="s">
        <v>9</v>
      </c>
      <c r="C58" t="s">
        <v>12</v>
      </c>
      <c r="D58" t="s">
        <v>18</v>
      </c>
      <c r="E58" s="5">
        <v>930.11</v>
      </c>
      <c r="F58" s="5">
        <v>278.01</v>
      </c>
      <c r="G58" t="s">
        <v>20</v>
      </c>
    </row>
    <row r="59" spans="1:7" x14ac:dyDescent="0.3">
      <c r="A59" s="3">
        <v>44615</v>
      </c>
      <c r="B59" t="s">
        <v>10</v>
      </c>
      <c r="C59" t="s">
        <v>13</v>
      </c>
      <c r="D59" t="s">
        <v>15</v>
      </c>
      <c r="E59" s="5">
        <v>765.9</v>
      </c>
      <c r="F59" s="5">
        <v>127.29</v>
      </c>
      <c r="G59" t="s">
        <v>21</v>
      </c>
    </row>
    <row r="60" spans="1:7" x14ac:dyDescent="0.3">
      <c r="A60" s="3">
        <v>44619</v>
      </c>
      <c r="B60" t="s">
        <v>10</v>
      </c>
      <c r="C60" t="s">
        <v>13</v>
      </c>
      <c r="D60" t="s">
        <v>14</v>
      </c>
      <c r="E60" s="5">
        <v>917.09</v>
      </c>
      <c r="F60" s="5">
        <v>237.69</v>
      </c>
      <c r="G60" t="s">
        <v>20</v>
      </c>
    </row>
    <row r="61" spans="1:7" x14ac:dyDescent="0.3">
      <c r="A61" s="3">
        <v>44620</v>
      </c>
      <c r="B61" t="s">
        <v>10</v>
      </c>
      <c r="C61" t="s">
        <v>12</v>
      </c>
      <c r="D61" t="s">
        <v>16</v>
      </c>
      <c r="E61" s="5">
        <v>739.3</v>
      </c>
      <c r="F61" s="5">
        <v>258.27999999999997</v>
      </c>
      <c r="G61" t="s">
        <v>22</v>
      </c>
    </row>
    <row r="62" spans="1:7" x14ac:dyDescent="0.3">
      <c r="A62" s="3">
        <v>44620</v>
      </c>
      <c r="B62" t="s">
        <v>7</v>
      </c>
      <c r="C62" t="s">
        <v>12</v>
      </c>
      <c r="D62" t="s">
        <v>15</v>
      </c>
      <c r="E62" s="5">
        <v>152.68</v>
      </c>
      <c r="F62" s="5">
        <v>184.18</v>
      </c>
      <c r="G62" t="s">
        <v>22</v>
      </c>
    </row>
    <row r="63" spans="1:7" x14ac:dyDescent="0.3">
      <c r="A63" s="3">
        <v>44623</v>
      </c>
      <c r="B63" t="s">
        <v>9</v>
      </c>
      <c r="C63" t="s">
        <v>13</v>
      </c>
      <c r="D63" t="s">
        <v>16</v>
      </c>
      <c r="E63" s="5">
        <v>428.59</v>
      </c>
      <c r="F63" s="5">
        <v>99.27</v>
      </c>
      <c r="G63" t="s">
        <v>20</v>
      </c>
    </row>
    <row r="64" spans="1:7" x14ac:dyDescent="0.3">
      <c r="A64" s="3">
        <v>44624</v>
      </c>
      <c r="B64" t="s">
        <v>9</v>
      </c>
      <c r="C64" t="s">
        <v>11</v>
      </c>
      <c r="D64" t="s">
        <v>17</v>
      </c>
      <c r="E64" s="5">
        <v>442.3</v>
      </c>
      <c r="F64" s="5">
        <v>89.26</v>
      </c>
      <c r="G64" t="s">
        <v>20</v>
      </c>
    </row>
    <row r="65" spans="1:7" x14ac:dyDescent="0.3">
      <c r="A65" s="3">
        <v>44627</v>
      </c>
      <c r="B65" t="s">
        <v>8</v>
      </c>
      <c r="C65" t="s">
        <v>11</v>
      </c>
      <c r="D65" t="s">
        <v>17</v>
      </c>
      <c r="E65" s="5">
        <v>897.67</v>
      </c>
      <c r="F65" s="5">
        <v>97.58</v>
      </c>
      <c r="G65" t="s">
        <v>22</v>
      </c>
    </row>
    <row r="66" spans="1:7" x14ac:dyDescent="0.3">
      <c r="A66" s="3">
        <v>44629</v>
      </c>
      <c r="B66" t="s">
        <v>9</v>
      </c>
      <c r="C66" t="s">
        <v>11</v>
      </c>
      <c r="D66" t="s">
        <v>17</v>
      </c>
      <c r="E66" s="5">
        <v>712.46</v>
      </c>
      <c r="F66" s="5">
        <v>82.56</v>
      </c>
      <c r="G66" t="s">
        <v>20</v>
      </c>
    </row>
    <row r="67" spans="1:7" x14ac:dyDescent="0.3">
      <c r="A67" s="3">
        <v>44629</v>
      </c>
      <c r="B67" t="s">
        <v>8</v>
      </c>
      <c r="C67" t="s">
        <v>12</v>
      </c>
      <c r="D67" t="s">
        <v>18</v>
      </c>
      <c r="E67" s="5">
        <v>571.77</v>
      </c>
      <c r="F67" s="5">
        <v>148.47</v>
      </c>
      <c r="G67" t="s">
        <v>22</v>
      </c>
    </row>
    <row r="68" spans="1:7" x14ac:dyDescent="0.3">
      <c r="A68" s="3">
        <v>44630</v>
      </c>
      <c r="B68" t="s">
        <v>10</v>
      </c>
      <c r="C68" t="s">
        <v>13</v>
      </c>
      <c r="D68" t="s">
        <v>14</v>
      </c>
      <c r="E68" s="5">
        <v>998.17</v>
      </c>
      <c r="F68" s="5">
        <v>273.02</v>
      </c>
      <c r="G68" t="s">
        <v>21</v>
      </c>
    </row>
    <row r="69" spans="1:7" x14ac:dyDescent="0.3">
      <c r="A69" s="3">
        <v>44631</v>
      </c>
      <c r="B69" t="s">
        <v>8</v>
      </c>
      <c r="C69" t="s">
        <v>11</v>
      </c>
      <c r="D69" t="s">
        <v>17</v>
      </c>
      <c r="E69" s="5">
        <v>220.1</v>
      </c>
      <c r="F69" s="5">
        <v>249.76</v>
      </c>
      <c r="G69" t="s">
        <v>20</v>
      </c>
    </row>
    <row r="70" spans="1:7" x14ac:dyDescent="0.3">
      <c r="A70" s="3">
        <v>44632</v>
      </c>
      <c r="B70" t="s">
        <v>9</v>
      </c>
      <c r="C70" t="s">
        <v>13</v>
      </c>
      <c r="D70" t="s">
        <v>16</v>
      </c>
      <c r="E70" s="5">
        <v>589.30999999999995</v>
      </c>
      <c r="F70" s="5">
        <v>200.41</v>
      </c>
      <c r="G70" t="s">
        <v>19</v>
      </c>
    </row>
    <row r="71" spans="1:7" x14ac:dyDescent="0.3">
      <c r="A71" s="3">
        <v>44634</v>
      </c>
      <c r="B71" t="s">
        <v>10</v>
      </c>
      <c r="C71" t="s">
        <v>11</v>
      </c>
      <c r="D71" t="s">
        <v>18</v>
      </c>
      <c r="E71" s="5">
        <v>351.16</v>
      </c>
      <c r="F71" s="5">
        <v>4.3600000000000003</v>
      </c>
      <c r="G71" t="s">
        <v>22</v>
      </c>
    </row>
    <row r="72" spans="1:7" x14ac:dyDescent="0.3">
      <c r="A72" s="3">
        <v>44634</v>
      </c>
      <c r="B72" t="s">
        <v>9</v>
      </c>
      <c r="C72" t="s">
        <v>13</v>
      </c>
      <c r="D72" t="s">
        <v>18</v>
      </c>
      <c r="E72" s="5">
        <v>671.31</v>
      </c>
      <c r="F72" s="5">
        <v>194.36</v>
      </c>
      <c r="G72" t="s">
        <v>20</v>
      </c>
    </row>
    <row r="73" spans="1:7" x14ac:dyDescent="0.3">
      <c r="A73" s="3">
        <v>44634</v>
      </c>
      <c r="B73" t="s">
        <v>9</v>
      </c>
      <c r="C73" t="s">
        <v>13</v>
      </c>
      <c r="D73" t="s">
        <v>17</v>
      </c>
      <c r="E73" s="5">
        <v>880.45</v>
      </c>
      <c r="F73" s="5">
        <v>76.53</v>
      </c>
      <c r="G73" t="s">
        <v>21</v>
      </c>
    </row>
    <row r="74" spans="1:7" x14ac:dyDescent="0.3">
      <c r="A74" s="3">
        <v>44637</v>
      </c>
      <c r="B74" t="s">
        <v>10</v>
      </c>
      <c r="C74" t="s">
        <v>11</v>
      </c>
      <c r="D74" t="s">
        <v>16</v>
      </c>
      <c r="E74" s="5">
        <v>299.26</v>
      </c>
      <c r="F74" s="5">
        <v>250.41</v>
      </c>
      <c r="G74" t="s">
        <v>21</v>
      </c>
    </row>
    <row r="75" spans="1:7" x14ac:dyDescent="0.3">
      <c r="A75" s="3">
        <v>44639</v>
      </c>
      <c r="B75" t="s">
        <v>9</v>
      </c>
      <c r="C75" t="s">
        <v>13</v>
      </c>
      <c r="D75" t="s">
        <v>18</v>
      </c>
      <c r="E75" s="5">
        <v>660.01</v>
      </c>
      <c r="F75" s="5">
        <v>45.96</v>
      </c>
      <c r="G75" t="s">
        <v>19</v>
      </c>
    </row>
    <row r="76" spans="1:7" x14ac:dyDescent="0.3">
      <c r="A76" s="3">
        <v>44639</v>
      </c>
      <c r="B76" t="s">
        <v>9</v>
      </c>
      <c r="C76" t="s">
        <v>11</v>
      </c>
      <c r="D76" t="s">
        <v>16</v>
      </c>
      <c r="E76" s="5">
        <v>753.71</v>
      </c>
      <c r="F76" s="5">
        <v>73.23</v>
      </c>
      <c r="G76" t="s">
        <v>21</v>
      </c>
    </row>
    <row r="77" spans="1:7" x14ac:dyDescent="0.3">
      <c r="A77" s="3">
        <v>44640</v>
      </c>
      <c r="B77" t="s">
        <v>8</v>
      </c>
      <c r="C77" t="s">
        <v>13</v>
      </c>
      <c r="D77" t="s">
        <v>14</v>
      </c>
      <c r="E77" s="5">
        <v>156.88999999999999</v>
      </c>
      <c r="F77" s="5">
        <v>50.96</v>
      </c>
      <c r="G77" t="s">
        <v>21</v>
      </c>
    </row>
    <row r="78" spans="1:7" x14ac:dyDescent="0.3">
      <c r="A78" s="3">
        <v>44641</v>
      </c>
      <c r="B78" t="s">
        <v>10</v>
      </c>
      <c r="C78" t="s">
        <v>11</v>
      </c>
      <c r="D78" t="s">
        <v>16</v>
      </c>
      <c r="E78" s="5">
        <v>704.76</v>
      </c>
      <c r="F78" s="5">
        <v>-53.05</v>
      </c>
      <c r="G78" t="s">
        <v>22</v>
      </c>
    </row>
    <row r="79" spans="1:7" x14ac:dyDescent="0.3">
      <c r="A79" s="3">
        <v>44641</v>
      </c>
      <c r="B79" t="s">
        <v>8</v>
      </c>
      <c r="C79" t="s">
        <v>12</v>
      </c>
      <c r="D79" t="s">
        <v>17</v>
      </c>
      <c r="E79" s="5">
        <v>971.46</v>
      </c>
      <c r="F79" s="5">
        <v>216.75</v>
      </c>
      <c r="G79" t="s">
        <v>21</v>
      </c>
    </row>
    <row r="80" spans="1:7" x14ac:dyDescent="0.3">
      <c r="A80" s="3">
        <v>44642</v>
      </c>
      <c r="B80" t="s">
        <v>10</v>
      </c>
      <c r="C80" t="s">
        <v>13</v>
      </c>
      <c r="D80" t="s">
        <v>15</v>
      </c>
      <c r="E80" s="5">
        <v>459.83</v>
      </c>
      <c r="F80" s="5">
        <v>285.27999999999997</v>
      </c>
      <c r="G80" t="s">
        <v>21</v>
      </c>
    </row>
    <row r="81" spans="1:7" x14ac:dyDescent="0.3">
      <c r="A81" s="3">
        <v>44643</v>
      </c>
      <c r="B81" t="s">
        <v>7</v>
      </c>
      <c r="C81" t="s">
        <v>13</v>
      </c>
      <c r="D81" t="s">
        <v>18</v>
      </c>
      <c r="E81" s="5">
        <v>465.35</v>
      </c>
      <c r="F81" s="5">
        <v>45.82</v>
      </c>
      <c r="G81" t="s">
        <v>22</v>
      </c>
    </row>
    <row r="82" spans="1:7" x14ac:dyDescent="0.3">
      <c r="A82" s="3">
        <v>44644</v>
      </c>
      <c r="B82" t="s">
        <v>10</v>
      </c>
      <c r="C82" t="s">
        <v>11</v>
      </c>
      <c r="D82" t="s">
        <v>15</v>
      </c>
      <c r="E82" s="5">
        <v>682.48</v>
      </c>
      <c r="F82" s="5">
        <v>288.29000000000002</v>
      </c>
      <c r="G82" t="s">
        <v>22</v>
      </c>
    </row>
    <row r="83" spans="1:7" x14ac:dyDescent="0.3">
      <c r="A83" s="3">
        <v>44644</v>
      </c>
      <c r="B83" t="s">
        <v>9</v>
      </c>
      <c r="C83" t="s">
        <v>12</v>
      </c>
      <c r="D83" t="s">
        <v>14</v>
      </c>
      <c r="E83" s="5">
        <v>322.66000000000003</v>
      </c>
      <c r="F83" s="5">
        <v>-37.450000000000003</v>
      </c>
      <c r="G83" t="s">
        <v>21</v>
      </c>
    </row>
    <row r="84" spans="1:7" x14ac:dyDescent="0.3">
      <c r="A84" s="3">
        <v>44644</v>
      </c>
      <c r="B84" t="s">
        <v>7</v>
      </c>
      <c r="C84" t="s">
        <v>11</v>
      </c>
      <c r="D84" t="s">
        <v>15</v>
      </c>
      <c r="E84" s="5">
        <v>875.86</v>
      </c>
      <c r="F84" s="5">
        <v>49.4</v>
      </c>
      <c r="G84" t="s">
        <v>19</v>
      </c>
    </row>
    <row r="85" spans="1:7" x14ac:dyDescent="0.3">
      <c r="A85" s="3">
        <v>44646</v>
      </c>
      <c r="B85" t="s">
        <v>10</v>
      </c>
      <c r="C85" t="s">
        <v>11</v>
      </c>
      <c r="D85" t="s">
        <v>16</v>
      </c>
      <c r="E85" s="5">
        <v>374</v>
      </c>
      <c r="F85" s="5">
        <v>290.35000000000002</v>
      </c>
      <c r="G85" t="s">
        <v>22</v>
      </c>
    </row>
    <row r="86" spans="1:7" x14ac:dyDescent="0.3">
      <c r="A86" s="3">
        <v>44647</v>
      </c>
      <c r="B86" t="s">
        <v>7</v>
      </c>
      <c r="C86" t="s">
        <v>12</v>
      </c>
      <c r="D86" t="s">
        <v>18</v>
      </c>
      <c r="E86" s="5">
        <v>510.87</v>
      </c>
      <c r="F86" s="5">
        <v>42.97</v>
      </c>
      <c r="G86" t="s">
        <v>19</v>
      </c>
    </row>
    <row r="87" spans="1:7" x14ac:dyDescent="0.3">
      <c r="A87" s="3">
        <v>44648</v>
      </c>
      <c r="B87" t="s">
        <v>9</v>
      </c>
      <c r="C87" t="s">
        <v>13</v>
      </c>
      <c r="D87" t="s">
        <v>16</v>
      </c>
      <c r="E87" s="5">
        <v>981.97</v>
      </c>
      <c r="F87" s="5">
        <v>43.6</v>
      </c>
      <c r="G87" t="s">
        <v>19</v>
      </c>
    </row>
    <row r="88" spans="1:7" x14ac:dyDescent="0.3">
      <c r="A88" s="3">
        <v>44648</v>
      </c>
      <c r="B88" t="s">
        <v>8</v>
      </c>
      <c r="C88" t="s">
        <v>13</v>
      </c>
      <c r="D88" t="s">
        <v>17</v>
      </c>
      <c r="E88" s="5">
        <v>300.58</v>
      </c>
      <c r="F88" s="5">
        <v>39.28</v>
      </c>
      <c r="G88" t="s">
        <v>20</v>
      </c>
    </row>
    <row r="89" spans="1:7" x14ac:dyDescent="0.3">
      <c r="A89" s="3">
        <v>44649</v>
      </c>
      <c r="B89" t="s">
        <v>7</v>
      </c>
      <c r="C89" t="s">
        <v>13</v>
      </c>
      <c r="D89" t="s">
        <v>16</v>
      </c>
      <c r="E89" s="5">
        <v>891.31</v>
      </c>
      <c r="F89" s="5">
        <v>212.59</v>
      </c>
      <c r="G89" t="s">
        <v>20</v>
      </c>
    </row>
    <row r="90" spans="1:7" x14ac:dyDescent="0.3">
      <c r="A90" s="3">
        <v>44649</v>
      </c>
      <c r="B90" t="s">
        <v>8</v>
      </c>
      <c r="C90" t="s">
        <v>13</v>
      </c>
      <c r="D90" t="s">
        <v>16</v>
      </c>
      <c r="E90" s="5">
        <v>577.48</v>
      </c>
      <c r="F90" s="5">
        <v>176.31</v>
      </c>
      <c r="G90" t="s">
        <v>20</v>
      </c>
    </row>
    <row r="91" spans="1:7" x14ac:dyDescent="0.3">
      <c r="A91" s="3">
        <v>44650</v>
      </c>
      <c r="B91" t="s">
        <v>9</v>
      </c>
      <c r="C91" t="s">
        <v>11</v>
      </c>
      <c r="D91" t="s">
        <v>14</v>
      </c>
      <c r="E91" s="5">
        <v>354.43</v>
      </c>
      <c r="F91" s="5">
        <v>270.88</v>
      </c>
      <c r="G91" t="s">
        <v>21</v>
      </c>
    </row>
    <row r="92" spans="1:7" x14ac:dyDescent="0.3">
      <c r="A92" s="3">
        <v>44650</v>
      </c>
      <c r="B92" t="s">
        <v>10</v>
      </c>
      <c r="C92" t="s">
        <v>12</v>
      </c>
      <c r="D92" t="s">
        <v>14</v>
      </c>
      <c r="E92" s="5">
        <v>180.55</v>
      </c>
      <c r="F92" s="5">
        <v>203.71</v>
      </c>
      <c r="G92" t="s">
        <v>22</v>
      </c>
    </row>
    <row r="93" spans="1:7" x14ac:dyDescent="0.3">
      <c r="A93" s="3">
        <v>44653</v>
      </c>
      <c r="B93" t="s">
        <v>7</v>
      </c>
      <c r="C93" t="s">
        <v>11</v>
      </c>
      <c r="D93" t="s">
        <v>16</v>
      </c>
      <c r="E93" s="5">
        <v>135.65</v>
      </c>
      <c r="F93" s="5">
        <v>21.68</v>
      </c>
      <c r="G93" t="s">
        <v>21</v>
      </c>
    </row>
    <row r="94" spans="1:7" x14ac:dyDescent="0.3">
      <c r="A94" s="3">
        <v>44655</v>
      </c>
      <c r="B94" t="s">
        <v>8</v>
      </c>
      <c r="C94" t="s">
        <v>13</v>
      </c>
      <c r="D94" t="s">
        <v>17</v>
      </c>
      <c r="E94" s="5">
        <v>788.11</v>
      </c>
      <c r="F94" s="5">
        <v>-13.84</v>
      </c>
      <c r="G94" t="s">
        <v>19</v>
      </c>
    </row>
    <row r="95" spans="1:7" x14ac:dyDescent="0.3">
      <c r="A95" s="3">
        <v>44656</v>
      </c>
      <c r="B95" t="s">
        <v>9</v>
      </c>
      <c r="C95" t="s">
        <v>11</v>
      </c>
      <c r="D95" t="s">
        <v>15</v>
      </c>
      <c r="E95" s="5">
        <v>999.35</v>
      </c>
      <c r="F95" s="5">
        <v>110.76</v>
      </c>
      <c r="G95" t="s">
        <v>19</v>
      </c>
    </row>
    <row r="96" spans="1:7" x14ac:dyDescent="0.3">
      <c r="A96" s="3">
        <v>44656</v>
      </c>
      <c r="B96" t="s">
        <v>8</v>
      </c>
      <c r="C96" t="s">
        <v>12</v>
      </c>
      <c r="D96" t="s">
        <v>15</v>
      </c>
      <c r="E96" s="5">
        <v>126.96</v>
      </c>
      <c r="F96" s="5">
        <v>131.08000000000001</v>
      </c>
      <c r="G96" t="s">
        <v>19</v>
      </c>
    </row>
    <row r="97" spans="1:7" x14ac:dyDescent="0.3">
      <c r="A97" s="3">
        <v>44657</v>
      </c>
      <c r="B97" t="s">
        <v>9</v>
      </c>
      <c r="C97" t="s">
        <v>13</v>
      </c>
      <c r="D97" t="s">
        <v>15</v>
      </c>
      <c r="E97" s="5">
        <v>693.26</v>
      </c>
      <c r="F97" s="5">
        <v>61.21</v>
      </c>
      <c r="G97" t="s">
        <v>22</v>
      </c>
    </row>
    <row r="98" spans="1:7" x14ac:dyDescent="0.3">
      <c r="A98" s="3">
        <v>44657</v>
      </c>
      <c r="B98" t="s">
        <v>7</v>
      </c>
      <c r="C98" t="s">
        <v>13</v>
      </c>
      <c r="D98" t="s">
        <v>17</v>
      </c>
      <c r="E98" s="5">
        <v>192.97</v>
      </c>
      <c r="F98" s="5">
        <v>246.38</v>
      </c>
      <c r="G98" t="s">
        <v>21</v>
      </c>
    </row>
    <row r="99" spans="1:7" x14ac:dyDescent="0.3">
      <c r="A99" s="3">
        <v>44658</v>
      </c>
      <c r="B99" t="s">
        <v>10</v>
      </c>
      <c r="C99" t="s">
        <v>12</v>
      </c>
      <c r="D99" t="s">
        <v>17</v>
      </c>
      <c r="E99" s="5">
        <v>117.21</v>
      </c>
      <c r="F99" s="5">
        <v>151.09</v>
      </c>
      <c r="G99" t="s">
        <v>22</v>
      </c>
    </row>
    <row r="100" spans="1:7" x14ac:dyDescent="0.3">
      <c r="A100" s="3">
        <v>44660</v>
      </c>
      <c r="B100" t="s">
        <v>8</v>
      </c>
      <c r="C100" t="s">
        <v>13</v>
      </c>
      <c r="D100" t="s">
        <v>16</v>
      </c>
      <c r="E100" s="5">
        <v>401.95</v>
      </c>
      <c r="F100" s="5">
        <v>221.16</v>
      </c>
      <c r="G100" t="s">
        <v>19</v>
      </c>
    </row>
    <row r="101" spans="1:7" x14ac:dyDescent="0.3">
      <c r="A101" s="3">
        <v>44660</v>
      </c>
      <c r="B101" t="s">
        <v>10</v>
      </c>
      <c r="C101" t="s">
        <v>12</v>
      </c>
      <c r="D101" t="s">
        <v>17</v>
      </c>
      <c r="E101" s="5">
        <v>459.82</v>
      </c>
      <c r="F101" s="5">
        <v>226.94</v>
      </c>
      <c r="G101" t="s">
        <v>20</v>
      </c>
    </row>
    <row r="102" spans="1:7" x14ac:dyDescent="0.3">
      <c r="A102" s="3">
        <v>44661</v>
      </c>
      <c r="B102" t="s">
        <v>7</v>
      </c>
      <c r="C102" t="s">
        <v>12</v>
      </c>
      <c r="D102" t="s">
        <v>16</v>
      </c>
      <c r="E102" s="5">
        <v>640.35</v>
      </c>
      <c r="F102" s="5">
        <v>-98.46</v>
      </c>
      <c r="G102" t="s">
        <v>20</v>
      </c>
    </row>
    <row r="103" spans="1:7" x14ac:dyDescent="0.3">
      <c r="A103" s="3">
        <v>44661</v>
      </c>
      <c r="B103" t="s">
        <v>10</v>
      </c>
      <c r="C103" t="s">
        <v>12</v>
      </c>
      <c r="D103" t="s">
        <v>18</v>
      </c>
      <c r="E103" s="5">
        <v>916.96</v>
      </c>
      <c r="F103" s="5">
        <v>-56.95</v>
      </c>
      <c r="G103" t="s">
        <v>19</v>
      </c>
    </row>
    <row r="104" spans="1:7" x14ac:dyDescent="0.3">
      <c r="A104" s="3">
        <v>44662</v>
      </c>
      <c r="B104" t="s">
        <v>10</v>
      </c>
      <c r="C104" t="s">
        <v>12</v>
      </c>
      <c r="D104" t="s">
        <v>16</v>
      </c>
      <c r="E104" s="5">
        <v>395.19</v>
      </c>
      <c r="F104" s="5">
        <v>155.88</v>
      </c>
      <c r="G104" t="s">
        <v>19</v>
      </c>
    </row>
    <row r="105" spans="1:7" x14ac:dyDescent="0.3">
      <c r="A105" s="3">
        <v>44664</v>
      </c>
      <c r="B105" t="s">
        <v>10</v>
      </c>
      <c r="C105" t="s">
        <v>12</v>
      </c>
      <c r="D105" t="s">
        <v>17</v>
      </c>
      <c r="E105" s="5">
        <v>695.01</v>
      </c>
      <c r="F105" s="5">
        <v>70.760000000000005</v>
      </c>
      <c r="G105" t="s">
        <v>20</v>
      </c>
    </row>
    <row r="106" spans="1:7" x14ac:dyDescent="0.3">
      <c r="A106" s="3">
        <v>44665</v>
      </c>
      <c r="B106" t="s">
        <v>8</v>
      </c>
      <c r="C106" t="s">
        <v>11</v>
      </c>
      <c r="D106" t="s">
        <v>17</v>
      </c>
      <c r="E106" s="5">
        <v>739.48</v>
      </c>
      <c r="F106" s="5">
        <v>-20.16</v>
      </c>
      <c r="G106" t="s">
        <v>22</v>
      </c>
    </row>
    <row r="107" spans="1:7" x14ac:dyDescent="0.3">
      <c r="A107" s="3">
        <v>44666</v>
      </c>
      <c r="B107" t="s">
        <v>7</v>
      </c>
      <c r="C107" t="s">
        <v>13</v>
      </c>
      <c r="D107" t="s">
        <v>16</v>
      </c>
      <c r="E107" s="5">
        <v>871.41</v>
      </c>
      <c r="F107" s="5">
        <v>269.32</v>
      </c>
      <c r="G107" t="s">
        <v>20</v>
      </c>
    </row>
    <row r="108" spans="1:7" x14ac:dyDescent="0.3">
      <c r="A108" s="3">
        <v>44667</v>
      </c>
      <c r="B108" t="s">
        <v>10</v>
      </c>
      <c r="C108" t="s">
        <v>13</v>
      </c>
      <c r="D108" t="s">
        <v>14</v>
      </c>
      <c r="E108" s="5">
        <v>132.43</v>
      </c>
      <c r="F108" s="5">
        <v>-2.04</v>
      </c>
      <c r="G108" t="s">
        <v>20</v>
      </c>
    </row>
    <row r="109" spans="1:7" x14ac:dyDescent="0.3">
      <c r="A109" s="3">
        <v>44669</v>
      </c>
      <c r="B109" t="s">
        <v>7</v>
      </c>
      <c r="C109" t="s">
        <v>11</v>
      </c>
      <c r="D109" t="s">
        <v>16</v>
      </c>
      <c r="E109" s="5">
        <v>763.53</v>
      </c>
      <c r="F109" s="5">
        <v>211.67</v>
      </c>
      <c r="G109" t="s">
        <v>21</v>
      </c>
    </row>
    <row r="110" spans="1:7" x14ac:dyDescent="0.3">
      <c r="A110" s="3">
        <v>44671</v>
      </c>
      <c r="B110" t="s">
        <v>9</v>
      </c>
      <c r="C110" t="s">
        <v>12</v>
      </c>
      <c r="D110" t="s">
        <v>18</v>
      </c>
      <c r="E110" s="5">
        <v>176.78</v>
      </c>
      <c r="F110" s="5">
        <v>-76.25</v>
      </c>
      <c r="G110" t="s">
        <v>20</v>
      </c>
    </row>
    <row r="111" spans="1:7" x14ac:dyDescent="0.3">
      <c r="A111" s="3">
        <v>44674</v>
      </c>
      <c r="B111" t="s">
        <v>7</v>
      </c>
      <c r="C111" t="s">
        <v>13</v>
      </c>
      <c r="D111" t="s">
        <v>17</v>
      </c>
      <c r="E111" s="5">
        <v>156.37</v>
      </c>
      <c r="F111" s="5">
        <v>142.28</v>
      </c>
      <c r="G111" t="s">
        <v>22</v>
      </c>
    </row>
    <row r="112" spans="1:7" x14ac:dyDescent="0.3">
      <c r="A112" s="3">
        <v>44674</v>
      </c>
      <c r="B112" t="s">
        <v>7</v>
      </c>
      <c r="C112" t="s">
        <v>11</v>
      </c>
      <c r="D112" t="s">
        <v>15</v>
      </c>
      <c r="E112" s="5">
        <v>645.67999999999995</v>
      </c>
      <c r="F112" s="5">
        <v>37.81</v>
      </c>
      <c r="G112" t="s">
        <v>22</v>
      </c>
    </row>
    <row r="113" spans="1:7" x14ac:dyDescent="0.3">
      <c r="A113" s="3">
        <v>44675</v>
      </c>
      <c r="B113" t="s">
        <v>10</v>
      </c>
      <c r="C113" t="s">
        <v>11</v>
      </c>
      <c r="D113" t="s">
        <v>14</v>
      </c>
      <c r="E113" s="5">
        <v>749.27</v>
      </c>
      <c r="F113" s="5">
        <v>-99.78</v>
      </c>
      <c r="G113" t="s">
        <v>21</v>
      </c>
    </row>
    <row r="114" spans="1:7" x14ac:dyDescent="0.3">
      <c r="A114" s="3">
        <v>44676</v>
      </c>
      <c r="B114" t="s">
        <v>10</v>
      </c>
      <c r="C114" t="s">
        <v>11</v>
      </c>
      <c r="D114" t="s">
        <v>16</v>
      </c>
      <c r="E114" s="5">
        <v>660.97</v>
      </c>
      <c r="F114" s="5">
        <v>-0.93</v>
      </c>
      <c r="G114" t="s">
        <v>20</v>
      </c>
    </row>
    <row r="115" spans="1:7" x14ac:dyDescent="0.3">
      <c r="A115" s="3">
        <v>44676</v>
      </c>
      <c r="B115" t="s">
        <v>9</v>
      </c>
      <c r="C115" t="s">
        <v>13</v>
      </c>
      <c r="D115" t="s">
        <v>15</v>
      </c>
      <c r="E115" s="5">
        <v>962.87</v>
      </c>
      <c r="F115" s="5">
        <v>91.75</v>
      </c>
      <c r="G115" t="s">
        <v>20</v>
      </c>
    </row>
    <row r="116" spans="1:7" x14ac:dyDescent="0.3">
      <c r="A116" s="3">
        <v>44677</v>
      </c>
      <c r="B116" t="s">
        <v>9</v>
      </c>
      <c r="C116" t="s">
        <v>13</v>
      </c>
      <c r="D116" t="s">
        <v>15</v>
      </c>
      <c r="E116" s="5">
        <v>619.42999999999995</v>
      </c>
      <c r="F116" s="5">
        <v>10.94</v>
      </c>
      <c r="G116" t="s">
        <v>19</v>
      </c>
    </row>
    <row r="117" spans="1:7" x14ac:dyDescent="0.3">
      <c r="A117" s="3">
        <v>44677</v>
      </c>
      <c r="B117" t="s">
        <v>8</v>
      </c>
      <c r="C117" t="s">
        <v>13</v>
      </c>
      <c r="D117" t="s">
        <v>16</v>
      </c>
      <c r="E117" s="5">
        <v>163.04</v>
      </c>
      <c r="F117" s="5">
        <v>30.51</v>
      </c>
      <c r="G117" t="s">
        <v>21</v>
      </c>
    </row>
    <row r="118" spans="1:7" x14ac:dyDescent="0.3">
      <c r="A118" s="3">
        <v>44679</v>
      </c>
      <c r="B118" t="s">
        <v>7</v>
      </c>
      <c r="C118" t="s">
        <v>13</v>
      </c>
      <c r="D118" t="s">
        <v>14</v>
      </c>
      <c r="E118" s="5">
        <v>413.63</v>
      </c>
      <c r="F118" s="5">
        <v>123.87</v>
      </c>
      <c r="G118" t="s">
        <v>21</v>
      </c>
    </row>
    <row r="119" spans="1:7" x14ac:dyDescent="0.3">
      <c r="A119" s="3">
        <v>44679</v>
      </c>
      <c r="B119" t="s">
        <v>7</v>
      </c>
      <c r="C119" t="s">
        <v>11</v>
      </c>
      <c r="D119" t="s">
        <v>15</v>
      </c>
      <c r="E119" s="5">
        <v>431.13</v>
      </c>
      <c r="F119" s="5">
        <v>207.99</v>
      </c>
      <c r="G119" t="s">
        <v>19</v>
      </c>
    </row>
    <row r="120" spans="1:7" x14ac:dyDescent="0.3">
      <c r="A120" s="3">
        <v>44681</v>
      </c>
      <c r="B120" t="s">
        <v>7</v>
      </c>
      <c r="C120" t="s">
        <v>13</v>
      </c>
      <c r="D120" t="s">
        <v>14</v>
      </c>
      <c r="E120" s="5">
        <v>496.24</v>
      </c>
      <c r="F120" s="5">
        <v>237.14</v>
      </c>
      <c r="G120" t="s">
        <v>19</v>
      </c>
    </row>
    <row r="121" spans="1:7" x14ac:dyDescent="0.3">
      <c r="A121" s="3">
        <v>44682</v>
      </c>
      <c r="B121" t="s">
        <v>10</v>
      </c>
      <c r="C121" t="s">
        <v>12</v>
      </c>
      <c r="D121" t="s">
        <v>14</v>
      </c>
      <c r="E121" s="5">
        <v>370.03</v>
      </c>
      <c r="F121" s="5">
        <v>17.63</v>
      </c>
      <c r="G121" t="s">
        <v>22</v>
      </c>
    </row>
    <row r="122" spans="1:7" x14ac:dyDescent="0.3">
      <c r="A122" s="3">
        <v>44683</v>
      </c>
      <c r="B122" t="s">
        <v>7</v>
      </c>
      <c r="C122" t="s">
        <v>13</v>
      </c>
      <c r="D122" t="s">
        <v>17</v>
      </c>
      <c r="E122" s="5">
        <v>705.32</v>
      </c>
      <c r="F122" s="5">
        <v>138.57</v>
      </c>
      <c r="G122" t="s">
        <v>19</v>
      </c>
    </row>
    <row r="123" spans="1:7" x14ac:dyDescent="0.3">
      <c r="A123" s="3">
        <v>44683</v>
      </c>
      <c r="B123" t="s">
        <v>10</v>
      </c>
      <c r="C123" t="s">
        <v>12</v>
      </c>
      <c r="D123" t="s">
        <v>18</v>
      </c>
      <c r="E123" s="5">
        <v>985.08</v>
      </c>
      <c r="F123" s="5">
        <v>-57.12</v>
      </c>
      <c r="G123" t="s">
        <v>21</v>
      </c>
    </row>
    <row r="124" spans="1:7" x14ac:dyDescent="0.3">
      <c r="A124" s="3">
        <v>44683</v>
      </c>
      <c r="B124" t="s">
        <v>9</v>
      </c>
      <c r="C124" t="s">
        <v>11</v>
      </c>
      <c r="D124" t="s">
        <v>14</v>
      </c>
      <c r="E124" s="5">
        <v>172.48</v>
      </c>
      <c r="F124" s="5">
        <v>-15.42</v>
      </c>
      <c r="G124" t="s">
        <v>20</v>
      </c>
    </row>
    <row r="125" spans="1:7" x14ac:dyDescent="0.3">
      <c r="A125" s="3">
        <v>44685</v>
      </c>
      <c r="B125" t="s">
        <v>8</v>
      </c>
      <c r="C125" t="s">
        <v>13</v>
      </c>
      <c r="D125" t="s">
        <v>16</v>
      </c>
      <c r="E125" s="5">
        <v>716.44</v>
      </c>
      <c r="F125" s="5">
        <v>193.32</v>
      </c>
      <c r="G125" t="s">
        <v>22</v>
      </c>
    </row>
    <row r="126" spans="1:7" x14ac:dyDescent="0.3">
      <c r="A126" s="3">
        <v>44687</v>
      </c>
      <c r="B126" t="s">
        <v>7</v>
      </c>
      <c r="C126" t="s">
        <v>13</v>
      </c>
      <c r="D126" t="s">
        <v>15</v>
      </c>
      <c r="E126" s="5">
        <v>464.53</v>
      </c>
      <c r="F126" s="5">
        <v>192.7</v>
      </c>
      <c r="G126" t="s">
        <v>20</v>
      </c>
    </row>
    <row r="127" spans="1:7" x14ac:dyDescent="0.3">
      <c r="A127" s="3">
        <v>44689</v>
      </c>
      <c r="B127" t="s">
        <v>10</v>
      </c>
      <c r="C127" t="s">
        <v>12</v>
      </c>
      <c r="D127" t="s">
        <v>15</v>
      </c>
      <c r="E127" s="5">
        <v>567.96</v>
      </c>
      <c r="F127" s="5">
        <v>108.3</v>
      </c>
      <c r="G127" t="s">
        <v>19</v>
      </c>
    </row>
    <row r="128" spans="1:7" x14ac:dyDescent="0.3">
      <c r="A128" s="3">
        <v>44689</v>
      </c>
      <c r="B128" t="s">
        <v>9</v>
      </c>
      <c r="C128" t="s">
        <v>11</v>
      </c>
      <c r="D128" t="s">
        <v>14</v>
      </c>
      <c r="E128" s="5">
        <v>981.57</v>
      </c>
      <c r="F128" s="5">
        <v>93.36</v>
      </c>
      <c r="G128" t="s">
        <v>22</v>
      </c>
    </row>
    <row r="129" spans="1:7" x14ac:dyDescent="0.3">
      <c r="A129" s="3">
        <v>44689</v>
      </c>
      <c r="B129" t="s">
        <v>7</v>
      </c>
      <c r="C129" t="s">
        <v>11</v>
      </c>
      <c r="D129" t="s">
        <v>16</v>
      </c>
      <c r="E129" s="5">
        <v>489.05</v>
      </c>
      <c r="F129" s="5">
        <v>191.16</v>
      </c>
      <c r="G129" t="s">
        <v>19</v>
      </c>
    </row>
    <row r="130" spans="1:7" x14ac:dyDescent="0.3">
      <c r="A130" s="3">
        <v>44689</v>
      </c>
      <c r="B130" t="s">
        <v>9</v>
      </c>
      <c r="C130" t="s">
        <v>13</v>
      </c>
      <c r="D130" t="s">
        <v>15</v>
      </c>
      <c r="E130" s="5">
        <v>630.73</v>
      </c>
      <c r="F130" s="5">
        <v>17.16</v>
      </c>
      <c r="G130" t="s">
        <v>21</v>
      </c>
    </row>
    <row r="131" spans="1:7" x14ac:dyDescent="0.3">
      <c r="A131" s="3">
        <v>44690</v>
      </c>
      <c r="B131" t="s">
        <v>7</v>
      </c>
      <c r="C131" t="s">
        <v>13</v>
      </c>
      <c r="D131" t="s">
        <v>18</v>
      </c>
      <c r="E131" s="5">
        <v>982.52</v>
      </c>
      <c r="F131" s="5">
        <v>77.83</v>
      </c>
      <c r="G131" t="s">
        <v>21</v>
      </c>
    </row>
    <row r="132" spans="1:7" x14ac:dyDescent="0.3">
      <c r="A132" s="3">
        <v>44690</v>
      </c>
      <c r="B132" t="s">
        <v>10</v>
      </c>
      <c r="C132" t="s">
        <v>12</v>
      </c>
      <c r="D132" t="s">
        <v>18</v>
      </c>
      <c r="E132" s="5">
        <v>884.61</v>
      </c>
      <c r="F132" s="5">
        <v>34.44</v>
      </c>
      <c r="G132" t="s">
        <v>22</v>
      </c>
    </row>
    <row r="133" spans="1:7" x14ac:dyDescent="0.3">
      <c r="A133" s="3">
        <v>44690</v>
      </c>
      <c r="B133" t="s">
        <v>7</v>
      </c>
      <c r="C133" t="s">
        <v>13</v>
      </c>
      <c r="D133" t="s">
        <v>18</v>
      </c>
      <c r="E133" s="5">
        <v>153.94999999999999</v>
      </c>
      <c r="F133" s="5">
        <v>-69.86</v>
      </c>
      <c r="G133" t="s">
        <v>21</v>
      </c>
    </row>
    <row r="134" spans="1:7" x14ac:dyDescent="0.3">
      <c r="A134" s="3">
        <v>44690</v>
      </c>
      <c r="B134" t="s">
        <v>10</v>
      </c>
      <c r="C134" t="s">
        <v>11</v>
      </c>
      <c r="D134" t="s">
        <v>17</v>
      </c>
      <c r="E134" s="5">
        <v>742.39</v>
      </c>
      <c r="F134" s="5">
        <v>249.42</v>
      </c>
      <c r="G134" t="s">
        <v>21</v>
      </c>
    </row>
    <row r="135" spans="1:7" x14ac:dyDescent="0.3">
      <c r="A135" s="3">
        <v>44692</v>
      </c>
      <c r="B135" t="s">
        <v>7</v>
      </c>
      <c r="C135" t="s">
        <v>11</v>
      </c>
      <c r="D135" t="s">
        <v>14</v>
      </c>
      <c r="E135" s="5">
        <v>942.25</v>
      </c>
      <c r="F135" s="5">
        <v>-30.82</v>
      </c>
      <c r="G135" t="s">
        <v>21</v>
      </c>
    </row>
    <row r="136" spans="1:7" x14ac:dyDescent="0.3">
      <c r="A136" s="3">
        <v>44693</v>
      </c>
      <c r="B136" t="s">
        <v>10</v>
      </c>
      <c r="C136" t="s">
        <v>12</v>
      </c>
      <c r="D136" t="s">
        <v>16</v>
      </c>
      <c r="E136" s="5">
        <v>257.19</v>
      </c>
      <c r="F136" s="5">
        <v>-84</v>
      </c>
      <c r="G136" t="s">
        <v>19</v>
      </c>
    </row>
    <row r="137" spans="1:7" x14ac:dyDescent="0.3">
      <c r="A137" s="3">
        <v>44693</v>
      </c>
      <c r="B137" t="s">
        <v>9</v>
      </c>
      <c r="C137" t="s">
        <v>13</v>
      </c>
      <c r="D137" t="s">
        <v>18</v>
      </c>
      <c r="E137" s="5">
        <v>728.42</v>
      </c>
      <c r="F137" s="5">
        <v>243.34</v>
      </c>
      <c r="G137" t="s">
        <v>22</v>
      </c>
    </row>
    <row r="138" spans="1:7" x14ac:dyDescent="0.3">
      <c r="A138" s="3">
        <v>44694</v>
      </c>
      <c r="B138" t="s">
        <v>8</v>
      </c>
      <c r="C138" t="s">
        <v>11</v>
      </c>
      <c r="D138" t="s">
        <v>14</v>
      </c>
      <c r="E138" s="5">
        <v>927.8</v>
      </c>
      <c r="F138" s="5">
        <v>170.28</v>
      </c>
      <c r="G138" t="s">
        <v>21</v>
      </c>
    </row>
    <row r="139" spans="1:7" x14ac:dyDescent="0.3">
      <c r="A139" s="3">
        <v>44695</v>
      </c>
      <c r="B139" t="s">
        <v>10</v>
      </c>
      <c r="C139" t="s">
        <v>13</v>
      </c>
      <c r="D139" t="s">
        <v>18</v>
      </c>
      <c r="E139" s="5">
        <v>587.24</v>
      </c>
      <c r="F139" s="5">
        <v>296.76</v>
      </c>
      <c r="G139" t="s">
        <v>21</v>
      </c>
    </row>
    <row r="140" spans="1:7" x14ac:dyDescent="0.3">
      <c r="A140" s="3">
        <v>44700</v>
      </c>
      <c r="B140" t="s">
        <v>10</v>
      </c>
      <c r="C140" t="s">
        <v>12</v>
      </c>
      <c r="D140" t="s">
        <v>17</v>
      </c>
      <c r="E140" s="5">
        <v>795.78</v>
      </c>
      <c r="F140" s="5">
        <v>224.78</v>
      </c>
      <c r="G140" t="s">
        <v>22</v>
      </c>
    </row>
    <row r="141" spans="1:7" x14ac:dyDescent="0.3">
      <c r="A141" s="3">
        <v>44701</v>
      </c>
      <c r="B141" t="s">
        <v>9</v>
      </c>
      <c r="C141" t="s">
        <v>11</v>
      </c>
      <c r="D141" t="s">
        <v>14</v>
      </c>
      <c r="E141" s="5">
        <v>435.89</v>
      </c>
      <c r="F141" s="5">
        <v>224.34</v>
      </c>
      <c r="G141" t="s">
        <v>19</v>
      </c>
    </row>
    <row r="142" spans="1:7" x14ac:dyDescent="0.3">
      <c r="A142" s="3">
        <v>44702</v>
      </c>
      <c r="B142" t="s">
        <v>9</v>
      </c>
      <c r="C142" t="s">
        <v>13</v>
      </c>
      <c r="D142" t="s">
        <v>15</v>
      </c>
      <c r="E142" s="5">
        <v>127.21</v>
      </c>
      <c r="F142" s="5">
        <v>-88.42</v>
      </c>
      <c r="G142" t="s">
        <v>19</v>
      </c>
    </row>
    <row r="143" spans="1:7" x14ac:dyDescent="0.3">
      <c r="A143" s="3">
        <v>44702</v>
      </c>
      <c r="B143" t="s">
        <v>7</v>
      </c>
      <c r="C143" t="s">
        <v>13</v>
      </c>
      <c r="D143" t="s">
        <v>15</v>
      </c>
      <c r="E143" s="5">
        <v>908.26</v>
      </c>
      <c r="F143" s="5">
        <v>-1.38</v>
      </c>
      <c r="G143" t="s">
        <v>21</v>
      </c>
    </row>
    <row r="144" spans="1:7" x14ac:dyDescent="0.3">
      <c r="A144" s="3">
        <v>44703</v>
      </c>
      <c r="B144" t="s">
        <v>7</v>
      </c>
      <c r="C144" t="s">
        <v>11</v>
      </c>
      <c r="D144" t="s">
        <v>17</v>
      </c>
      <c r="E144" s="5">
        <v>563.05999999999995</v>
      </c>
      <c r="F144" s="5">
        <v>259.02</v>
      </c>
      <c r="G144" t="s">
        <v>21</v>
      </c>
    </row>
    <row r="145" spans="1:7" x14ac:dyDescent="0.3">
      <c r="A145" s="3">
        <v>44704</v>
      </c>
      <c r="B145" t="s">
        <v>9</v>
      </c>
      <c r="C145" t="s">
        <v>11</v>
      </c>
      <c r="D145" t="s">
        <v>16</v>
      </c>
      <c r="E145" s="5">
        <v>832.31</v>
      </c>
      <c r="F145" s="5">
        <v>187.85</v>
      </c>
      <c r="G145" t="s">
        <v>20</v>
      </c>
    </row>
    <row r="146" spans="1:7" x14ac:dyDescent="0.3">
      <c r="A146" s="3">
        <v>44704</v>
      </c>
      <c r="B146" t="s">
        <v>10</v>
      </c>
      <c r="C146" t="s">
        <v>11</v>
      </c>
      <c r="D146" t="s">
        <v>15</v>
      </c>
      <c r="E146" s="5">
        <v>154.97</v>
      </c>
      <c r="F146" s="5">
        <v>69.87</v>
      </c>
      <c r="G146" t="s">
        <v>19</v>
      </c>
    </row>
    <row r="147" spans="1:7" x14ac:dyDescent="0.3">
      <c r="A147" s="3">
        <v>44705</v>
      </c>
      <c r="B147" t="s">
        <v>10</v>
      </c>
      <c r="C147" t="s">
        <v>11</v>
      </c>
      <c r="D147" t="s">
        <v>15</v>
      </c>
      <c r="E147" s="5">
        <v>646.52</v>
      </c>
      <c r="F147" s="5">
        <v>223.75</v>
      </c>
      <c r="G147" t="s">
        <v>22</v>
      </c>
    </row>
    <row r="148" spans="1:7" x14ac:dyDescent="0.3">
      <c r="A148" s="3">
        <v>44709</v>
      </c>
      <c r="B148" t="s">
        <v>10</v>
      </c>
      <c r="C148" t="s">
        <v>12</v>
      </c>
      <c r="D148" t="s">
        <v>14</v>
      </c>
      <c r="E148" s="5">
        <v>115.18</v>
      </c>
      <c r="F148" s="5">
        <v>-67.45</v>
      </c>
      <c r="G148" t="s">
        <v>20</v>
      </c>
    </row>
    <row r="149" spans="1:7" x14ac:dyDescent="0.3">
      <c r="A149" s="3">
        <v>44709</v>
      </c>
      <c r="B149" t="s">
        <v>8</v>
      </c>
      <c r="C149" t="s">
        <v>11</v>
      </c>
      <c r="D149" t="s">
        <v>17</v>
      </c>
      <c r="E149" s="5">
        <v>726.83</v>
      </c>
      <c r="F149" s="5">
        <v>252.76</v>
      </c>
      <c r="G149" t="s">
        <v>22</v>
      </c>
    </row>
    <row r="150" spans="1:7" x14ac:dyDescent="0.3">
      <c r="A150" s="3">
        <v>44710</v>
      </c>
      <c r="B150" t="s">
        <v>8</v>
      </c>
      <c r="C150" t="s">
        <v>11</v>
      </c>
      <c r="D150" t="s">
        <v>14</v>
      </c>
      <c r="E150" s="5">
        <v>204.13</v>
      </c>
      <c r="F150" s="5">
        <v>172.7</v>
      </c>
      <c r="G150" t="s">
        <v>20</v>
      </c>
    </row>
    <row r="151" spans="1:7" x14ac:dyDescent="0.3">
      <c r="A151" s="3">
        <v>44710</v>
      </c>
      <c r="B151" t="s">
        <v>7</v>
      </c>
      <c r="C151" t="s">
        <v>11</v>
      </c>
      <c r="D151" t="s">
        <v>14</v>
      </c>
      <c r="E151" s="5">
        <v>529.88</v>
      </c>
      <c r="F151" s="5">
        <v>183.61</v>
      </c>
      <c r="G151" t="s">
        <v>22</v>
      </c>
    </row>
    <row r="152" spans="1:7" x14ac:dyDescent="0.3">
      <c r="A152" s="3">
        <v>44710</v>
      </c>
      <c r="B152" t="s">
        <v>7</v>
      </c>
      <c r="C152" t="s">
        <v>13</v>
      </c>
      <c r="D152" t="s">
        <v>15</v>
      </c>
      <c r="E152" s="5">
        <v>548</v>
      </c>
      <c r="F152" s="5">
        <v>255.62</v>
      </c>
      <c r="G152" t="s">
        <v>19</v>
      </c>
    </row>
    <row r="153" spans="1:7" x14ac:dyDescent="0.3">
      <c r="A153" s="3">
        <v>44711</v>
      </c>
      <c r="B153" t="s">
        <v>7</v>
      </c>
      <c r="C153" t="s">
        <v>12</v>
      </c>
      <c r="D153" t="s">
        <v>15</v>
      </c>
      <c r="E153" s="5">
        <v>317.70999999999998</v>
      </c>
      <c r="F153" s="5">
        <v>-53.74</v>
      </c>
      <c r="G153" t="s">
        <v>20</v>
      </c>
    </row>
    <row r="154" spans="1:7" x14ac:dyDescent="0.3">
      <c r="A154" s="3">
        <v>44713</v>
      </c>
      <c r="B154" t="s">
        <v>9</v>
      </c>
      <c r="C154" t="s">
        <v>12</v>
      </c>
      <c r="D154" t="s">
        <v>18</v>
      </c>
      <c r="E154" s="5">
        <v>304.98</v>
      </c>
      <c r="F154" s="5">
        <v>48.77</v>
      </c>
      <c r="G154" t="s">
        <v>19</v>
      </c>
    </row>
    <row r="155" spans="1:7" x14ac:dyDescent="0.3">
      <c r="A155" s="3">
        <v>44714</v>
      </c>
      <c r="B155" t="s">
        <v>9</v>
      </c>
      <c r="C155" t="s">
        <v>11</v>
      </c>
      <c r="D155" t="s">
        <v>14</v>
      </c>
      <c r="E155" s="5">
        <v>159.53</v>
      </c>
      <c r="F155" s="5">
        <v>33.79</v>
      </c>
      <c r="G155" t="s">
        <v>19</v>
      </c>
    </row>
    <row r="156" spans="1:7" x14ac:dyDescent="0.3">
      <c r="A156" s="3">
        <v>44716</v>
      </c>
      <c r="B156" t="s">
        <v>10</v>
      </c>
      <c r="C156" t="s">
        <v>12</v>
      </c>
      <c r="D156" t="s">
        <v>18</v>
      </c>
      <c r="E156" s="5">
        <v>126.27</v>
      </c>
      <c r="F156" s="5">
        <v>94.56</v>
      </c>
      <c r="G156" t="s">
        <v>21</v>
      </c>
    </row>
    <row r="157" spans="1:7" x14ac:dyDescent="0.3">
      <c r="A157" s="3">
        <v>44717</v>
      </c>
      <c r="B157" t="s">
        <v>7</v>
      </c>
      <c r="C157" t="s">
        <v>12</v>
      </c>
      <c r="D157" t="s">
        <v>16</v>
      </c>
      <c r="E157" s="5">
        <v>317.39999999999998</v>
      </c>
      <c r="F157" s="5">
        <v>-97.94</v>
      </c>
      <c r="G157" t="s">
        <v>21</v>
      </c>
    </row>
    <row r="158" spans="1:7" x14ac:dyDescent="0.3">
      <c r="A158" s="3">
        <v>44719</v>
      </c>
      <c r="B158" t="s">
        <v>9</v>
      </c>
      <c r="C158" t="s">
        <v>11</v>
      </c>
      <c r="D158" t="s">
        <v>15</v>
      </c>
      <c r="E158" s="5">
        <v>159.04</v>
      </c>
      <c r="F158" s="5">
        <v>-29.85</v>
      </c>
      <c r="G158" t="s">
        <v>20</v>
      </c>
    </row>
    <row r="159" spans="1:7" x14ac:dyDescent="0.3">
      <c r="A159" s="3">
        <v>44724</v>
      </c>
      <c r="B159" t="s">
        <v>8</v>
      </c>
      <c r="C159" t="s">
        <v>12</v>
      </c>
      <c r="D159" t="s">
        <v>15</v>
      </c>
      <c r="E159" s="5">
        <v>978.6</v>
      </c>
      <c r="F159" s="5">
        <v>-16.7</v>
      </c>
      <c r="G159" t="s">
        <v>21</v>
      </c>
    </row>
    <row r="160" spans="1:7" x14ac:dyDescent="0.3">
      <c r="A160" s="3">
        <v>44725</v>
      </c>
      <c r="B160" t="s">
        <v>8</v>
      </c>
      <c r="C160" t="s">
        <v>11</v>
      </c>
      <c r="D160" t="s">
        <v>14</v>
      </c>
      <c r="E160" s="5">
        <v>469.27</v>
      </c>
      <c r="F160" s="5">
        <v>-99.45</v>
      </c>
      <c r="G160" t="s">
        <v>21</v>
      </c>
    </row>
    <row r="161" spans="1:7" x14ac:dyDescent="0.3">
      <c r="A161" s="3">
        <v>44725</v>
      </c>
      <c r="B161" t="s">
        <v>7</v>
      </c>
      <c r="C161" t="s">
        <v>12</v>
      </c>
      <c r="D161" t="s">
        <v>15</v>
      </c>
      <c r="E161" s="5">
        <v>409.05</v>
      </c>
      <c r="F161" s="5">
        <v>-15.03</v>
      </c>
      <c r="G161" t="s">
        <v>22</v>
      </c>
    </row>
    <row r="162" spans="1:7" x14ac:dyDescent="0.3">
      <c r="A162" s="3">
        <v>44725</v>
      </c>
      <c r="B162" t="s">
        <v>10</v>
      </c>
      <c r="C162" t="s">
        <v>13</v>
      </c>
      <c r="D162" t="s">
        <v>18</v>
      </c>
      <c r="E162" s="5">
        <v>233.03</v>
      </c>
      <c r="F162" s="5">
        <v>252.91</v>
      </c>
      <c r="G162" t="s">
        <v>19</v>
      </c>
    </row>
    <row r="163" spans="1:7" x14ac:dyDescent="0.3">
      <c r="A163" s="3">
        <v>44726</v>
      </c>
      <c r="B163" t="s">
        <v>10</v>
      </c>
      <c r="C163" t="s">
        <v>13</v>
      </c>
      <c r="D163" t="s">
        <v>15</v>
      </c>
      <c r="E163" s="5">
        <v>552.45000000000005</v>
      </c>
      <c r="F163" s="5">
        <v>252.27</v>
      </c>
      <c r="G163" t="s">
        <v>19</v>
      </c>
    </row>
    <row r="164" spans="1:7" x14ac:dyDescent="0.3">
      <c r="A164" s="3">
        <v>44727</v>
      </c>
      <c r="B164" t="s">
        <v>10</v>
      </c>
      <c r="C164" t="s">
        <v>12</v>
      </c>
      <c r="D164" t="s">
        <v>17</v>
      </c>
      <c r="E164" s="5">
        <v>121.88</v>
      </c>
      <c r="F164" s="5">
        <v>100.43</v>
      </c>
      <c r="G164" t="s">
        <v>22</v>
      </c>
    </row>
    <row r="165" spans="1:7" x14ac:dyDescent="0.3">
      <c r="A165" s="3">
        <v>44729</v>
      </c>
      <c r="B165" t="s">
        <v>9</v>
      </c>
      <c r="C165" t="s">
        <v>12</v>
      </c>
      <c r="D165" t="s">
        <v>17</v>
      </c>
      <c r="E165" s="5">
        <v>558.83000000000004</v>
      </c>
      <c r="F165" s="5">
        <v>286.56</v>
      </c>
      <c r="G165" t="s">
        <v>22</v>
      </c>
    </row>
    <row r="166" spans="1:7" x14ac:dyDescent="0.3">
      <c r="A166" s="3">
        <v>44731</v>
      </c>
      <c r="B166" t="s">
        <v>10</v>
      </c>
      <c r="C166" t="s">
        <v>13</v>
      </c>
      <c r="D166" t="s">
        <v>17</v>
      </c>
      <c r="E166" s="5">
        <v>501.75</v>
      </c>
      <c r="F166" s="5">
        <v>211.27</v>
      </c>
      <c r="G166" t="s">
        <v>22</v>
      </c>
    </row>
    <row r="167" spans="1:7" x14ac:dyDescent="0.3">
      <c r="A167" s="3">
        <v>44731</v>
      </c>
      <c r="B167" t="s">
        <v>9</v>
      </c>
      <c r="C167" t="s">
        <v>11</v>
      </c>
      <c r="D167" t="s">
        <v>16</v>
      </c>
      <c r="E167" s="5">
        <v>187.12</v>
      </c>
      <c r="F167" s="5">
        <v>-55.03</v>
      </c>
      <c r="G167" t="s">
        <v>22</v>
      </c>
    </row>
    <row r="168" spans="1:7" x14ac:dyDescent="0.3">
      <c r="A168" s="3">
        <v>44732</v>
      </c>
      <c r="B168" t="s">
        <v>7</v>
      </c>
      <c r="C168" t="s">
        <v>12</v>
      </c>
      <c r="D168" t="s">
        <v>16</v>
      </c>
      <c r="E168" s="5">
        <v>576.04999999999995</v>
      </c>
      <c r="F168" s="5">
        <v>-52.99</v>
      </c>
      <c r="G168" t="s">
        <v>21</v>
      </c>
    </row>
    <row r="169" spans="1:7" x14ac:dyDescent="0.3">
      <c r="A169" s="3">
        <v>44734</v>
      </c>
      <c r="B169" t="s">
        <v>7</v>
      </c>
      <c r="C169" t="s">
        <v>11</v>
      </c>
      <c r="D169" t="s">
        <v>14</v>
      </c>
      <c r="E169" s="5">
        <v>501.52</v>
      </c>
      <c r="F169" s="5">
        <v>242.51</v>
      </c>
      <c r="G169" t="s">
        <v>19</v>
      </c>
    </row>
    <row r="170" spans="1:7" x14ac:dyDescent="0.3">
      <c r="A170" s="3">
        <v>44736</v>
      </c>
      <c r="B170" t="s">
        <v>7</v>
      </c>
      <c r="C170" t="s">
        <v>13</v>
      </c>
      <c r="D170" t="s">
        <v>16</v>
      </c>
      <c r="E170" s="5">
        <v>929.9</v>
      </c>
      <c r="F170" s="5">
        <v>294.94</v>
      </c>
      <c r="G170" t="s">
        <v>19</v>
      </c>
    </row>
    <row r="171" spans="1:7" x14ac:dyDescent="0.3">
      <c r="A171" s="3">
        <v>44736</v>
      </c>
      <c r="B171" t="s">
        <v>8</v>
      </c>
      <c r="C171" t="s">
        <v>13</v>
      </c>
      <c r="D171" t="s">
        <v>14</v>
      </c>
      <c r="E171" s="5">
        <v>726.82</v>
      </c>
      <c r="F171" s="5">
        <v>-59.03</v>
      </c>
      <c r="G171" t="s">
        <v>19</v>
      </c>
    </row>
    <row r="172" spans="1:7" x14ac:dyDescent="0.3">
      <c r="A172" s="3">
        <v>44736</v>
      </c>
      <c r="B172" t="s">
        <v>7</v>
      </c>
      <c r="C172" t="s">
        <v>11</v>
      </c>
      <c r="D172" t="s">
        <v>16</v>
      </c>
      <c r="E172" s="5">
        <v>187.53</v>
      </c>
      <c r="F172" s="5">
        <v>106.26</v>
      </c>
      <c r="G172" t="s">
        <v>19</v>
      </c>
    </row>
    <row r="173" spans="1:7" x14ac:dyDescent="0.3">
      <c r="A173" s="3">
        <v>44736</v>
      </c>
      <c r="B173" t="s">
        <v>8</v>
      </c>
      <c r="C173" t="s">
        <v>11</v>
      </c>
      <c r="D173" t="s">
        <v>17</v>
      </c>
      <c r="E173" s="5">
        <v>488.58</v>
      </c>
      <c r="F173" s="5">
        <v>-25.79</v>
      </c>
      <c r="G173" t="s">
        <v>20</v>
      </c>
    </row>
    <row r="174" spans="1:7" x14ac:dyDescent="0.3">
      <c r="A174" s="3">
        <v>44737</v>
      </c>
      <c r="B174" t="s">
        <v>10</v>
      </c>
      <c r="C174" t="s">
        <v>13</v>
      </c>
      <c r="D174" t="s">
        <v>17</v>
      </c>
      <c r="E174" s="5">
        <v>953.97</v>
      </c>
      <c r="F174" s="5">
        <v>-36.06</v>
      </c>
      <c r="G174" t="s">
        <v>20</v>
      </c>
    </row>
    <row r="175" spans="1:7" x14ac:dyDescent="0.3">
      <c r="A175" s="3">
        <v>44739</v>
      </c>
      <c r="B175" t="s">
        <v>7</v>
      </c>
      <c r="C175" t="s">
        <v>12</v>
      </c>
      <c r="D175" t="s">
        <v>16</v>
      </c>
      <c r="E175" s="5">
        <v>629.87</v>
      </c>
      <c r="F175" s="5">
        <v>-28.57</v>
      </c>
      <c r="G175" t="s">
        <v>22</v>
      </c>
    </row>
    <row r="176" spans="1:7" x14ac:dyDescent="0.3">
      <c r="A176" s="3">
        <v>44740</v>
      </c>
      <c r="B176" t="s">
        <v>8</v>
      </c>
      <c r="C176" t="s">
        <v>13</v>
      </c>
      <c r="D176" t="s">
        <v>18</v>
      </c>
      <c r="E176" s="5">
        <v>673.82</v>
      </c>
      <c r="F176" s="5">
        <v>70.16</v>
      </c>
      <c r="G176" t="s">
        <v>22</v>
      </c>
    </row>
    <row r="177" spans="1:7" x14ac:dyDescent="0.3">
      <c r="A177" s="3">
        <v>44742</v>
      </c>
      <c r="B177" t="s">
        <v>7</v>
      </c>
      <c r="C177" t="s">
        <v>11</v>
      </c>
      <c r="D177" t="s">
        <v>15</v>
      </c>
      <c r="E177" s="5">
        <v>712.31</v>
      </c>
      <c r="F177" s="5">
        <v>63.32</v>
      </c>
      <c r="G177" t="s">
        <v>20</v>
      </c>
    </row>
    <row r="178" spans="1:7" x14ac:dyDescent="0.3">
      <c r="A178" s="3">
        <v>44742</v>
      </c>
      <c r="B178" t="s">
        <v>7</v>
      </c>
      <c r="C178" t="s">
        <v>12</v>
      </c>
      <c r="D178" t="s">
        <v>15</v>
      </c>
      <c r="E178" s="5">
        <v>463.82</v>
      </c>
      <c r="F178" s="5">
        <v>127.14</v>
      </c>
      <c r="G178" t="s">
        <v>20</v>
      </c>
    </row>
    <row r="179" spans="1:7" x14ac:dyDescent="0.3">
      <c r="A179" s="3">
        <v>44744</v>
      </c>
      <c r="B179" t="s">
        <v>10</v>
      </c>
      <c r="C179" t="s">
        <v>11</v>
      </c>
      <c r="D179" t="s">
        <v>17</v>
      </c>
      <c r="E179" s="5">
        <v>410.25</v>
      </c>
      <c r="F179" s="5">
        <v>2.77</v>
      </c>
      <c r="G179" t="s">
        <v>19</v>
      </c>
    </row>
    <row r="180" spans="1:7" x14ac:dyDescent="0.3">
      <c r="A180" s="3">
        <v>44745</v>
      </c>
      <c r="B180" t="s">
        <v>8</v>
      </c>
      <c r="C180" t="s">
        <v>12</v>
      </c>
      <c r="D180" t="s">
        <v>18</v>
      </c>
      <c r="E180" s="5">
        <v>898.26</v>
      </c>
      <c r="F180" s="5">
        <v>27.29</v>
      </c>
      <c r="G180" t="s">
        <v>21</v>
      </c>
    </row>
    <row r="181" spans="1:7" x14ac:dyDescent="0.3">
      <c r="A181" s="3">
        <v>44746</v>
      </c>
      <c r="B181" t="s">
        <v>10</v>
      </c>
      <c r="C181" t="s">
        <v>12</v>
      </c>
      <c r="D181" t="s">
        <v>17</v>
      </c>
      <c r="E181" s="5">
        <v>840.17</v>
      </c>
      <c r="F181" s="5">
        <v>26.62</v>
      </c>
      <c r="G181" t="s">
        <v>20</v>
      </c>
    </row>
    <row r="182" spans="1:7" x14ac:dyDescent="0.3">
      <c r="A182" s="3">
        <v>44746</v>
      </c>
      <c r="B182" t="s">
        <v>10</v>
      </c>
      <c r="C182" t="s">
        <v>11</v>
      </c>
      <c r="D182" t="s">
        <v>14</v>
      </c>
      <c r="E182" s="5">
        <v>190.01</v>
      </c>
      <c r="F182" s="5">
        <v>267.42</v>
      </c>
      <c r="G182" t="s">
        <v>20</v>
      </c>
    </row>
    <row r="183" spans="1:7" x14ac:dyDescent="0.3">
      <c r="A183" s="3">
        <v>44747</v>
      </c>
      <c r="B183" t="s">
        <v>8</v>
      </c>
      <c r="C183" t="s">
        <v>11</v>
      </c>
      <c r="D183" t="s">
        <v>18</v>
      </c>
      <c r="E183" s="5">
        <v>497.83</v>
      </c>
      <c r="F183" s="5">
        <v>272.33</v>
      </c>
      <c r="G183" t="s">
        <v>19</v>
      </c>
    </row>
    <row r="184" spans="1:7" x14ac:dyDescent="0.3">
      <c r="A184" s="3">
        <v>44748</v>
      </c>
      <c r="B184" t="s">
        <v>7</v>
      </c>
      <c r="C184" t="s">
        <v>11</v>
      </c>
      <c r="D184" t="s">
        <v>17</v>
      </c>
      <c r="E184" s="5">
        <v>450.22</v>
      </c>
      <c r="F184" s="5">
        <v>-33.58</v>
      </c>
      <c r="G184" t="s">
        <v>22</v>
      </c>
    </row>
    <row r="185" spans="1:7" x14ac:dyDescent="0.3">
      <c r="A185" s="3">
        <v>44748</v>
      </c>
      <c r="B185" t="s">
        <v>10</v>
      </c>
      <c r="C185" t="s">
        <v>11</v>
      </c>
      <c r="D185" t="s">
        <v>16</v>
      </c>
      <c r="E185" s="5">
        <v>355.6</v>
      </c>
      <c r="F185" s="5">
        <v>281.73</v>
      </c>
      <c r="G185" t="s">
        <v>22</v>
      </c>
    </row>
    <row r="186" spans="1:7" x14ac:dyDescent="0.3">
      <c r="A186" s="3">
        <v>44748</v>
      </c>
      <c r="B186" t="s">
        <v>9</v>
      </c>
      <c r="C186" t="s">
        <v>11</v>
      </c>
      <c r="D186" t="s">
        <v>17</v>
      </c>
      <c r="E186" s="5">
        <v>196.3</v>
      </c>
      <c r="F186" s="5">
        <v>-80.260000000000005</v>
      </c>
      <c r="G186" t="s">
        <v>20</v>
      </c>
    </row>
    <row r="187" spans="1:7" x14ac:dyDescent="0.3">
      <c r="A187" s="3">
        <v>44749</v>
      </c>
      <c r="B187" t="s">
        <v>9</v>
      </c>
      <c r="C187" t="s">
        <v>12</v>
      </c>
      <c r="D187" t="s">
        <v>17</v>
      </c>
      <c r="E187" s="5">
        <v>863.34</v>
      </c>
      <c r="F187" s="5">
        <v>67.239999999999995</v>
      </c>
      <c r="G187" t="s">
        <v>19</v>
      </c>
    </row>
    <row r="188" spans="1:7" x14ac:dyDescent="0.3">
      <c r="A188" s="3">
        <v>44750</v>
      </c>
      <c r="B188" t="s">
        <v>8</v>
      </c>
      <c r="C188" t="s">
        <v>13</v>
      </c>
      <c r="D188" t="s">
        <v>15</v>
      </c>
      <c r="E188" s="5">
        <v>688.08</v>
      </c>
      <c r="F188" s="5">
        <v>78.75</v>
      </c>
      <c r="G188" t="s">
        <v>21</v>
      </c>
    </row>
    <row r="189" spans="1:7" x14ac:dyDescent="0.3">
      <c r="A189" s="3">
        <v>44754</v>
      </c>
      <c r="B189" t="s">
        <v>9</v>
      </c>
      <c r="C189" t="s">
        <v>13</v>
      </c>
      <c r="D189" t="s">
        <v>16</v>
      </c>
      <c r="E189" s="5">
        <v>766.09</v>
      </c>
      <c r="F189" s="5">
        <v>209.38</v>
      </c>
      <c r="G189" t="s">
        <v>19</v>
      </c>
    </row>
    <row r="190" spans="1:7" x14ac:dyDescent="0.3">
      <c r="A190" s="3">
        <v>44754</v>
      </c>
      <c r="B190" t="s">
        <v>8</v>
      </c>
      <c r="C190" t="s">
        <v>13</v>
      </c>
      <c r="D190" t="s">
        <v>15</v>
      </c>
      <c r="E190" s="5">
        <v>102.43</v>
      </c>
      <c r="F190" s="5">
        <v>-81.28</v>
      </c>
      <c r="G190" t="s">
        <v>22</v>
      </c>
    </row>
    <row r="191" spans="1:7" x14ac:dyDescent="0.3">
      <c r="A191" s="3">
        <v>44754</v>
      </c>
      <c r="B191" t="s">
        <v>7</v>
      </c>
      <c r="C191" t="s">
        <v>13</v>
      </c>
      <c r="D191" t="s">
        <v>18</v>
      </c>
      <c r="E191" s="5">
        <v>631.91999999999996</v>
      </c>
      <c r="F191" s="5">
        <v>-26.79</v>
      </c>
      <c r="G191" t="s">
        <v>22</v>
      </c>
    </row>
    <row r="192" spans="1:7" x14ac:dyDescent="0.3">
      <c r="A192" s="3">
        <v>44755</v>
      </c>
      <c r="B192" t="s">
        <v>10</v>
      </c>
      <c r="C192" t="s">
        <v>12</v>
      </c>
      <c r="D192" t="s">
        <v>16</v>
      </c>
      <c r="E192" s="5">
        <v>107.1</v>
      </c>
      <c r="F192" s="5">
        <v>57.03</v>
      </c>
      <c r="G192" t="s">
        <v>21</v>
      </c>
    </row>
    <row r="193" spans="1:7" x14ac:dyDescent="0.3">
      <c r="A193" s="3">
        <v>44755</v>
      </c>
      <c r="B193" t="s">
        <v>9</v>
      </c>
      <c r="C193" t="s">
        <v>12</v>
      </c>
      <c r="D193" t="s">
        <v>15</v>
      </c>
      <c r="E193" s="5">
        <v>811.76</v>
      </c>
      <c r="F193" s="5">
        <v>20.16</v>
      </c>
      <c r="G193" t="s">
        <v>19</v>
      </c>
    </row>
    <row r="194" spans="1:7" x14ac:dyDescent="0.3">
      <c r="A194" s="3">
        <v>44755</v>
      </c>
      <c r="B194" t="s">
        <v>8</v>
      </c>
      <c r="C194" t="s">
        <v>12</v>
      </c>
      <c r="D194" t="s">
        <v>17</v>
      </c>
      <c r="E194" s="5">
        <v>523.55999999999995</v>
      </c>
      <c r="F194" s="5">
        <v>-29.2</v>
      </c>
      <c r="G194" t="s">
        <v>21</v>
      </c>
    </row>
    <row r="195" spans="1:7" x14ac:dyDescent="0.3">
      <c r="A195" s="3">
        <v>44756</v>
      </c>
      <c r="B195" t="s">
        <v>7</v>
      </c>
      <c r="C195" t="s">
        <v>11</v>
      </c>
      <c r="D195" t="s">
        <v>16</v>
      </c>
      <c r="E195" s="5">
        <v>581.42999999999995</v>
      </c>
      <c r="F195" s="5">
        <v>79.349999999999994</v>
      </c>
      <c r="G195" t="s">
        <v>21</v>
      </c>
    </row>
    <row r="196" spans="1:7" x14ac:dyDescent="0.3">
      <c r="A196" s="3">
        <v>44757</v>
      </c>
      <c r="B196" t="s">
        <v>7</v>
      </c>
      <c r="C196" t="s">
        <v>12</v>
      </c>
      <c r="D196" t="s">
        <v>15</v>
      </c>
      <c r="E196" s="5">
        <v>660.15</v>
      </c>
      <c r="F196" s="5">
        <v>-38.65</v>
      </c>
      <c r="G196" t="s">
        <v>19</v>
      </c>
    </row>
    <row r="197" spans="1:7" x14ac:dyDescent="0.3">
      <c r="A197" s="3">
        <v>44757</v>
      </c>
      <c r="B197" t="s">
        <v>8</v>
      </c>
      <c r="C197" t="s">
        <v>12</v>
      </c>
      <c r="D197" t="s">
        <v>14</v>
      </c>
      <c r="E197" s="5">
        <v>691.09</v>
      </c>
      <c r="F197" s="5">
        <v>63.89</v>
      </c>
      <c r="G197" t="s">
        <v>19</v>
      </c>
    </row>
    <row r="198" spans="1:7" x14ac:dyDescent="0.3">
      <c r="A198" s="3">
        <v>44757</v>
      </c>
      <c r="B198" t="s">
        <v>8</v>
      </c>
      <c r="C198" t="s">
        <v>12</v>
      </c>
      <c r="D198" t="s">
        <v>16</v>
      </c>
      <c r="E198" s="5">
        <v>858.5</v>
      </c>
      <c r="F198" s="5">
        <v>66.680000000000007</v>
      </c>
      <c r="G198" t="s">
        <v>22</v>
      </c>
    </row>
    <row r="199" spans="1:7" x14ac:dyDescent="0.3">
      <c r="A199" s="3">
        <v>44758</v>
      </c>
      <c r="B199" t="s">
        <v>8</v>
      </c>
      <c r="C199" t="s">
        <v>13</v>
      </c>
      <c r="D199" t="s">
        <v>14</v>
      </c>
      <c r="E199" s="5">
        <v>523.58000000000004</v>
      </c>
      <c r="F199" s="5">
        <v>-3.13</v>
      </c>
      <c r="G199" t="s">
        <v>20</v>
      </c>
    </row>
    <row r="200" spans="1:7" x14ac:dyDescent="0.3">
      <c r="A200" s="3">
        <v>44759</v>
      </c>
      <c r="B200" t="s">
        <v>8</v>
      </c>
      <c r="C200" t="s">
        <v>13</v>
      </c>
      <c r="D200" t="s">
        <v>14</v>
      </c>
      <c r="E200" s="5">
        <v>725.74</v>
      </c>
      <c r="F200" s="5">
        <v>109.75</v>
      </c>
      <c r="G200" t="s">
        <v>22</v>
      </c>
    </row>
    <row r="201" spans="1:7" x14ac:dyDescent="0.3">
      <c r="A201" s="3">
        <v>44759</v>
      </c>
      <c r="B201" t="s">
        <v>10</v>
      </c>
      <c r="C201" t="s">
        <v>13</v>
      </c>
      <c r="D201" t="s">
        <v>16</v>
      </c>
      <c r="E201" s="5">
        <v>457.53</v>
      </c>
      <c r="F201" s="5">
        <v>198.09</v>
      </c>
      <c r="G201" t="s">
        <v>20</v>
      </c>
    </row>
  </sheetData>
  <autoFilter ref="A1:G201" xr:uid="{00000000-0001-0000-0000-000000000000}">
    <sortState xmlns:xlrd2="http://schemas.microsoft.com/office/spreadsheetml/2017/richdata2" ref="A2:G201">
      <sortCondition ref="A1:A201"/>
    </sortState>
  </autoFilter>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26008-A743-42AC-B246-F8CAEAFDE726}">
  <dimension ref="A3:B8"/>
  <sheetViews>
    <sheetView workbookViewId="0">
      <selection activeCell="A3" sqref="A3:B8"/>
    </sheetView>
  </sheetViews>
  <sheetFormatPr defaultRowHeight="14.4" x14ac:dyDescent="0.3"/>
  <cols>
    <col min="1" max="1" width="12.5546875" bestFit="1" customWidth="1"/>
    <col min="2" max="2" width="11.6640625" bestFit="1" customWidth="1"/>
    <col min="3" max="3" width="12.6640625" bestFit="1" customWidth="1"/>
  </cols>
  <sheetData>
    <row r="3" spans="1:2" x14ac:dyDescent="0.3">
      <c r="A3" s="6" t="s">
        <v>23</v>
      </c>
      <c r="B3" t="s">
        <v>25</v>
      </c>
    </row>
    <row r="4" spans="1:2" x14ac:dyDescent="0.3">
      <c r="A4" s="7" t="s">
        <v>8</v>
      </c>
      <c r="B4" s="5">
        <v>22640.350000000009</v>
      </c>
    </row>
    <row r="5" spans="1:2" x14ac:dyDescent="0.3">
      <c r="A5" s="7" t="s">
        <v>9</v>
      </c>
      <c r="B5" s="5">
        <v>26797.489999999994</v>
      </c>
    </row>
    <row r="6" spans="1:2" x14ac:dyDescent="0.3">
      <c r="A6" s="7" t="s">
        <v>10</v>
      </c>
      <c r="B6" s="5">
        <v>27089.129999999994</v>
      </c>
    </row>
    <row r="7" spans="1:2" x14ac:dyDescent="0.3">
      <c r="A7" s="7" t="s">
        <v>7</v>
      </c>
      <c r="B7" s="5">
        <v>30119.32</v>
      </c>
    </row>
    <row r="8" spans="1:2" x14ac:dyDescent="0.3">
      <c r="A8" s="7" t="s">
        <v>24</v>
      </c>
      <c r="B8" s="5">
        <v>106646.29000000001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ACBA3-0712-45C9-8770-D1F5AC050D06}">
  <dimension ref="A3:B7"/>
  <sheetViews>
    <sheetView workbookViewId="0">
      <selection activeCell="B28" sqref="B28"/>
    </sheetView>
  </sheetViews>
  <sheetFormatPr defaultRowHeight="14.4" x14ac:dyDescent="0.3"/>
  <cols>
    <col min="1" max="1" width="13.109375" bestFit="1" customWidth="1"/>
    <col min="2" max="2" width="11.6640625" bestFit="1" customWidth="1"/>
  </cols>
  <sheetData>
    <row r="3" spans="1:2" x14ac:dyDescent="0.3">
      <c r="A3" s="6" t="s">
        <v>23</v>
      </c>
      <c r="B3" t="s">
        <v>25</v>
      </c>
    </row>
    <row r="4" spans="1:2" x14ac:dyDescent="0.3">
      <c r="A4" s="7" t="s">
        <v>13</v>
      </c>
      <c r="B4" s="5">
        <v>42015.679999999993</v>
      </c>
    </row>
    <row r="5" spans="1:2" x14ac:dyDescent="0.3">
      <c r="A5" s="7" t="s">
        <v>11</v>
      </c>
      <c r="B5" s="5">
        <v>34045.970000000008</v>
      </c>
    </row>
    <row r="6" spans="1:2" x14ac:dyDescent="0.3">
      <c r="A6" s="7" t="s">
        <v>12</v>
      </c>
      <c r="B6" s="5">
        <v>30584.639999999996</v>
      </c>
    </row>
    <row r="7" spans="1:2" x14ac:dyDescent="0.3">
      <c r="A7" s="7" t="s">
        <v>24</v>
      </c>
      <c r="B7" s="5">
        <v>106646.29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5D76D-6DC1-4206-823E-A585EA452DCD}">
  <dimension ref="A3:B11"/>
  <sheetViews>
    <sheetView workbookViewId="0">
      <selection activeCell="L17" sqref="L17"/>
    </sheetView>
  </sheetViews>
  <sheetFormatPr defaultRowHeight="14.4" x14ac:dyDescent="0.3"/>
  <cols>
    <col min="1" max="1" width="12.5546875" bestFit="1" customWidth="1"/>
    <col min="2" max="2" width="11.6640625" bestFit="1" customWidth="1"/>
  </cols>
  <sheetData>
    <row r="3" spans="1:2" x14ac:dyDescent="0.3">
      <c r="A3" s="6" t="s">
        <v>23</v>
      </c>
      <c r="B3" t="s">
        <v>25</v>
      </c>
    </row>
    <row r="4" spans="1:2" x14ac:dyDescent="0.3">
      <c r="A4" s="7" t="s">
        <v>26</v>
      </c>
      <c r="B4" s="5">
        <v>12705.390000000003</v>
      </c>
    </row>
    <row r="5" spans="1:2" x14ac:dyDescent="0.3">
      <c r="A5" s="7" t="s">
        <v>27</v>
      </c>
      <c r="B5" s="5">
        <v>18159.48</v>
      </c>
    </row>
    <row r="6" spans="1:2" x14ac:dyDescent="0.3">
      <c r="A6" s="7" t="s">
        <v>28</v>
      </c>
      <c r="B6" s="5">
        <v>17286.75</v>
      </c>
    </row>
    <row r="7" spans="1:2" x14ac:dyDescent="0.3">
      <c r="A7" s="7" t="s">
        <v>29</v>
      </c>
      <c r="B7" s="5">
        <v>14545.050000000003</v>
      </c>
    </row>
    <row r="8" spans="1:2" x14ac:dyDescent="0.3">
      <c r="A8" s="7" t="s">
        <v>30</v>
      </c>
      <c r="B8" s="5">
        <v>19195.29</v>
      </c>
    </row>
    <row r="9" spans="1:2" x14ac:dyDescent="0.3">
      <c r="A9" s="7" t="s">
        <v>31</v>
      </c>
      <c r="B9" s="5">
        <v>11923.39</v>
      </c>
    </row>
    <row r="10" spans="1:2" x14ac:dyDescent="0.3">
      <c r="A10" s="7" t="s">
        <v>32</v>
      </c>
      <c r="B10" s="5">
        <v>12830.94</v>
      </c>
    </row>
    <row r="11" spans="1:2" x14ac:dyDescent="0.3">
      <c r="A11" s="7" t="s">
        <v>24</v>
      </c>
      <c r="B11" s="5">
        <v>106646.29000000001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24F6F-5C11-4BB0-A132-2985585ECC80}">
  <dimension ref="A1"/>
  <sheetViews>
    <sheetView tabSelected="1" topLeftCell="A10" zoomScale="71" workbookViewId="0">
      <selection activeCell="AK22" sqref="AK2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Superstore sales data</vt:lpstr>
      <vt:lpstr>sales by region</vt:lpstr>
      <vt:lpstr>sales by category</vt:lpstr>
      <vt:lpstr>monthly sales trend</vt:lpstr>
      <vt:lpstr>Dashboards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MANSI NAUTIYAL</cp:lastModifiedBy>
  <dcterms:created xsi:type="dcterms:W3CDTF">2026-04-09T09:41:29Z</dcterms:created>
  <dcterms:modified xsi:type="dcterms:W3CDTF">2026-04-09T10:34:26Z</dcterms:modified>
</cp:coreProperties>
</file>